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rre\Dropbox\Public\Portfolio\Gift Shop Retail\excel\"/>
    </mc:Choice>
  </mc:AlternateContent>
  <xr:revisionPtr revIDLastSave="0" documentId="13_ncr:1_{D06E4CA8-9D10-4742-9AC6-487ABA4975A2}" xr6:coauthVersionLast="47" xr6:coauthVersionMax="47" xr10:uidLastSave="{00000000-0000-0000-0000-000000000000}"/>
  <bookViews>
    <workbookView xWindow="-120" yWindow="-120" windowWidth="29040" windowHeight="15720" activeTab="5" xr2:uid="{AE93CD9C-7DE5-4643-A1A5-F1000DBB024E}"/>
  </bookViews>
  <sheets>
    <sheet name="tblProduct" sheetId="4" r:id="rId1"/>
    <sheet name="tblSales" sheetId="5" r:id="rId2"/>
    <sheet name="tblPurchases" sheetId="6" r:id="rId3"/>
    <sheet name="tblInventorySnapshot" sheetId="7" r:id="rId4"/>
    <sheet name="tblOrderReportPeriod" sheetId="2" r:id="rId5"/>
    <sheet name="Order Report" sheetId="12" r:id="rId6"/>
  </sheets>
  <definedNames>
    <definedName name="_xlnm._FilterDatabase" localSheetId="5" hidden="1">'Order Report'!$B$1:$U$1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" i="12" l="1" a="1"/>
  <c r="F2" i="12" s="1"/>
  <c r="F3" i="12" a="1"/>
  <c r="F3" i="12" s="1"/>
  <c r="F4" i="12" a="1"/>
  <c r="F4" i="12" s="1"/>
  <c r="F5" i="12" a="1"/>
  <c r="F5" i="12" s="1"/>
  <c r="F6" i="12" a="1"/>
  <c r="F6" i="12" s="1"/>
  <c r="F7" i="12" a="1"/>
  <c r="F7" i="12" s="1"/>
  <c r="F8" i="12" a="1"/>
  <c r="F8" i="12" s="1"/>
  <c r="F9" i="12" a="1"/>
  <c r="F9" i="12" s="1"/>
  <c r="F10" i="12" a="1"/>
  <c r="F10" i="12" s="1"/>
  <c r="F11" i="12" a="1"/>
  <c r="F11" i="12" s="1"/>
  <c r="F12" i="12" a="1"/>
  <c r="F12" i="12" s="1"/>
  <c r="F13" i="12" a="1"/>
  <c r="F13" i="12" s="1"/>
  <c r="F14" i="12" a="1"/>
  <c r="F14" i="12" s="1"/>
  <c r="F15" i="12" a="1"/>
  <c r="F15" i="12" s="1"/>
  <c r="F16" i="12" a="1"/>
  <c r="F16" i="12" s="1"/>
  <c r="F17" i="12" a="1"/>
  <c r="F17" i="12" s="1"/>
  <c r="F18" i="12" a="1"/>
  <c r="F18" i="12" s="1"/>
  <c r="F19" i="12" a="1"/>
  <c r="F19" i="12" s="1"/>
  <c r="F20" i="12" a="1"/>
  <c r="F20" i="12" s="1"/>
  <c r="F21" i="12" a="1"/>
  <c r="F21" i="12" s="1"/>
  <c r="F22" i="12" a="1"/>
  <c r="F22" i="12" s="1"/>
  <c r="F23" i="12" a="1"/>
  <c r="F23" i="12" s="1"/>
  <c r="F24" i="12" a="1"/>
  <c r="F24" i="12" s="1"/>
  <c r="F25" i="12" a="1"/>
  <c r="F25" i="12" s="1"/>
  <c r="F26" i="12" a="1"/>
  <c r="F26" i="12" s="1"/>
  <c r="F27" i="12" a="1"/>
  <c r="F27" i="12" s="1"/>
  <c r="F28" i="12" a="1"/>
  <c r="F28" i="12" s="1"/>
  <c r="F29" i="12" a="1"/>
  <c r="F29" i="12" s="1"/>
  <c r="F30" i="12" a="1"/>
  <c r="F30" i="12" s="1"/>
  <c r="F31" i="12" a="1"/>
  <c r="F31" i="12" s="1"/>
  <c r="P2" i="12" a="1"/>
  <c r="P2" i="12" s="1"/>
  <c r="P3" i="12" a="1"/>
  <c r="P3" i="12" s="1"/>
  <c r="P4" i="12" a="1"/>
  <c r="P4" i="12" s="1"/>
  <c r="P5" i="12" a="1"/>
  <c r="P5" i="12" s="1"/>
  <c r="P6" i="12" a="1"/>
  <c r="P6" i="12" s="1"/>
  <c r="P7" i="12" a="1"/>
  <c r="P7" i="12" s="1"/>
  <c r="P8" i="12" a="1"/>
  <c r="P8" i="12" s="1"/>
  <c r="P9" i="12" a="1"/>
  <c r="P9" i="12" s="1"/>
  <c r="P10" i="12" a="1"/>
  <c r="P10" i="12" s="1"/>
  <c r="P11" i="12" a="1"/>
  <c r="P11" i="12" s="1"/>
  <c r="P12" i="12" a="1"/>
  <c r="P12" i="12" s="1"/>
  <c r="P13" i="12" a="1"/>
  <c r="P13" i="12" s="1"/>
  <c r="P14" i="12" a="1"/>
  <c r="P14" i="12" s="1"/>
  <c r="P15" i="12" a="1"/>
  <c r="P15" i="12" s="1"/>
  <c r="P16" i="12" a="1"/>
  <c r="P16" i="12" s="1"/>
  <c r="P17" i="12" a="1"/>
  <c r="P17" i="12" s="1"/>
  <c r="P18" i="12" a="1"/>
  <c r="P18" i="12" s="1"/>
  <c r="P19" i="12" a="1"/>
  <c r="P19" i="12" s="1"/>
  <c r="P20" i="12" a="1"/>
  <c r="P20" i="12" s="1"/>
  <c r="P21" i="12" a="1"/>
  <c r="P21" i="12" s="1"/>
  <c r="P22" i="12" a="1"/>
  <c r="P22" i="12" s="1"/>
  <c r="P23" i="12" a="1"/>
  <c r="P23" i="12" s="1"/>
  <c r="P24" i="12" a="1"/>
  <c r="P24" i="12" s="1"/>
  <c r="P25" i="12" a="1"/>
  <c r="P25" i="12" s="1"/>
  <c r="P26" i="12" a="1"/>
  <c r="P26" i="12" s="1"/>
  <c r="P27" i="12" a="1"/>
  <c r="P27" i="12" s="1"/>
  <c r="P28" i="12" a="1"/>
  <c r="P28" i="12" s="1"/>
  <c r="P29" i="12" a="1"/>
  <c r="P29" i="12" s="1"/>
  <c r="P30" i="12" a="1"/>
  <c r="P30" i="12" s="1"/>
  <c r="P31" i="12" a="1"/>
  <c r="P31" i="12" s="1"/>
  <c r="H2" i="12" l="1" a="1"/>
  <c r="H2" i="12" s="1"/>
  <c r="H3" i="12" a="1"/>
  <c r="H3" i="12" s="1"/>
  <c r="H4" i="12" a="1"/>
  <c r="H4" i="12" s="1"/>
  <c r="H5" i="12" a="1"/>
  <c r="H5" i="12" s="1"/>
  <c r="H6" i="12" a="1"/>
  <c r="H6" i="12" s="1"/>
  <c r="H7" i="12" a="1"/>
  <c r="H7" i="12" s="1"/>
  <c r="H8" i="12" a="1"/>
  <c r="H8" i="12" s="1"/>
  <c r="H9" i="12" a="1"/>
  <c r="H9" i="12" s="1"/>
  <c r="H10" i="12" a="1"/>
  <c r="H10" i="12" s="1"/>
  <c r="H11" i="12" a="1"/>
  <c r="H11" i="12" s="1"/>
  <c r="H12" i="12" a="1"/>
  <c r="H12" i="12" s="1"/>
  <c r="H13" i="12" a="1"/>
  <c r="H13" i="12" s="1"/>
  <c r="H14" i="12" a="1"/>
  <c r="H14" i="12" s="1"/>
  <c r="H15" i="12" a="1"/>
  <c r="H15" i="12" s="1"/>
  <c r="H16" i="12" a="1"/>
  <c r="H16" i="12" s="1"/>
  <c r="H17" i="12" a="1"/>
  <c r="H17" i="12" s="1"/>
  <c r="H18" i="12" a="1"/>
  <c r="H18" i="12" s="1"/>
  <c r="H19" i="12" a="1"/>
  <c r="H19" i="12" s="1"/>
  <c r="H20" i="12" a="1"/>
  <c r="H20" i="12" s="1"/>
  <c r="H21" i="12" a="1"/>
  <c r="H21" i="12" s="1"/>
  <c r="H22" i="12" a="1"/>
  <c r="H22" i="12" s="1"/>
  <c r="H23" i="12" a="1"/>
  <c r="H23" i="12" s="1"/>
  <c r="H24" i="12" a="1"/>
  <c r="H24" i="12" s="1"/>
  <c r="H25" i="12" a="1"/>
  <c r="H25" i="12" s="1"/>
  <c r="H26" i="12" a="1"/>
  <c r="H26" i="12" s="1"/>
  <c r="H27" i="12" a="1"/>
  <c r="H27" i="12" s="1"/>
  <c r="H28" i="12" a="1"/>
  <c r="H28" i="12" s="1"/>
  <c r="H29" i="12" a="1"/>
  <c r="H29" i="12" s="1"/>
  <c r="H30" i="12" a="1"/>
  <c r="H30" i="12" s="1"/>
  <c r="H31" i="12" a="1"/>
  <c r="H31" i="12" s="1"/>
  <c r="E2" i="12"/>
  <c r="E3" i="12"/>
  <c r="E4" i="12"/>
  <c r="E5" i="12"/>
  <c r="E6" i="12"/>
  <c r="E7" i="12"/>
  <c r="E8" i="12"/>
  <c r="E9" i="12"/>
  <c r="E10" i="12"/>
  <c r="E11" i="12"/>
  <c r="E12" i="12"/>
  <c r="E13" i="12"/>
  <c r="E14" i="12"/>
  <c r="E15" i="12"/>
  <c r="E16" i="12"/>
  <c r="E17" i="12"/>
  <c r="E18" i="12"/>
  <c r="E19" i="12"/>
  <c r="E20" i="12"/>
  <c r="E21" i="12"/>
  <c r="E22" i="12"/>
  <c r="E23" i="12"/>
  <c r="E24" i="12"/>
  <c r="E25" i="12"/>
  <c r="E26" i="12"/>
  <c r="E27" i="12"/>
  <c r="E28" i="12"/>
  <c r="E29" i="12"/>
  <c r="E30" i="12"/>
  <c r="E31" i="12"/>
  <c r="C2" i="12"/>
  <c r="C3" i="12"/>
  <c r="C4" i="12"/>
  <c r="C5" i="12"/>
  <c r="C6" i="12"/>
  <c r="C7" i="12"/>
  <c r="C8" i="12"/>
  <c r="C9" i="12"/>
  <c r="C10" i="12"/>
  <c r="C11" i="12"/>
  <c r="C12" i="12"/>
  <c r="C13" i="12"/>
  <c r="C14" i="12"/>
  <c r="C15" i="12"/>
  <c r="C16" i="12"/>
  <c r="C17" i="12"/>
  <c r="C18" i="12"/>
  <c r="C19" i="12"/>
  <c r="C20" i="12"/>
  <c r="C21" i="12"/>
  <c r="C22" i="12"/>
  <c r="C23" i="12"/>
  <c r="C24" i="12"/>
  <c r="C25" i="12"/>
  <c r="C26" i="12"/>
  <c r="C27" i="12"/>
  <c r="C28" i="12"/>
  <c r="C29" i="12"/>
  <c r="C30" i="12"/>
  <c r="C31" i="12"/>
  <c r="B2" i="12"/>
  <c r="B3" i="12"/>
  <c r="B4" i="12"/>
  <c r="B5" i="12"/>
  <c r="B6" i="12"/>
  <c r="B7" i="12"/>
  <c r="B8" i="12"/>
  <c r="B9" i="12"/>
  <c r="B10" i="12"/>
  <c r="B11" i="12"/>
  <c r="B12" i="12"/>
  <c r="B13" i="12"/>
  <c r="B14" i="12"/>
  <c r="B15" i="12"/>
  <c r="B16" i="12"/>
  <c r="B17" i="12"/>
  <c r="B18" i="12"/>
  <c r="B19" i="12"/>
  <c r="B20" i="12"/>
  <c r="B21" i="12"/>
  <c r="B22" i="12"/>
  <c r="B23" i="12"/>
  <c r="B24" i="12"/>
  <c r="B25" i="12"/>
  <c r="B26" i="12"/>
  <c r="B27" i="12"/>
  <c r="B28" i="12"/>
  <c r="B29" i="12"/>
  <c r="B30" i="12"/>
  <c r="B31" i="12"/>
  <c r="G2" i="12" a="1"/>
  <c r="G2" i="12" s="1"/>
  <c r="G3" i="12" a="1"/>
  <c r="G3" i="12" s="1"/>
  <c r="G4" i="12" a="1"/>
  <c r="G4" i="12" s="1"/>
  <c r="G5" i="12" a="1"/>
  <c r="G5" i="12" s="1"/>
  <c r="G6" i="12" a="1"/>
  <c r="G6" i="12" s="1"/>
  <c r="G7" i="12" a="1"/>
  <c r="G7" i="12" s="1"/>
  <c r="G8" i="12" a="1"/>
  <c r="G8" i="12" s="1"/>
  <c r="G9" i="12" a="1"/>
  <c r="G9" i="12" s="1"/>
  <c r="G10" i="12" a="1"/>
  <c r="G10" i="12" s="1"/>
  <c r="G11" i="12" a="1"/>
  <c r="G11" i="12" s="1"/>
  <c r="G12" i="12" a="1"/>
  <c r="G12" i="12" s="1"/>
  <c r="G13" i="12" a="1"/>
  <c r="G13" i="12" s="1"/>
  <c r="G14" i="12" a="1"/>
  <c r="G14" i="12" s="1"/>
  <c r="G15" i="12" a="1"/>
  <c r="G15" i="12" s="1"/>
  <c r="G16" i="12" a="1"/>
  <c r="G16" i="12" s="1"/>
  <c r="G17" i="12" a="1"/>
  <c r="G17" i="12" s="1"/>
  <c r="G18" i="12" a="1"/>
  <c r="G18" i="12" s="1"/>
  <c r="G19" i="12" a="1"/>
  <c r="G19" i="12" s="1"/>
  <c r="G20" i="12" a="1"/>
  <c r="G20" i="12" s="1"/>
  <c r="G21" i="12" a="1"/>
  <c r="G21" i="12" s="1"/>
  <c r="G22" i="12" a="1"/>
  <c r="G22" i="12" s="1"/>
  <c r="G23" i="12" a="1"/>
  <c r="G23" i="12" s="1"/>
  <c r="G24" i="12" a="1"/>
  <c r="G24" i="12" s="1"/>
  <c r="G25" i="12" a="1"/>
  <c r="G25" i="12" s="1"/>
  <c r="G26" i="12" a="1"/>
  <c r="G26" i="12" s="1"/>
  <c r="G27" i="12" a="1"/>
  <c r="G27" i="12" s="1"/>
  <c r="G28" i="12" a="1"/>
  <c r="G28" i="12" s="1"/>
  <c r="G29" i="12" a="1"/>
  <c r="G29" i="12" s="1"/>
  <c r="G30" i="12" a="1"/>
  <c r="G30" i="12" s="1"/>
  <c r="G31" i="12" a="1"/>
  <c r="G31" i="12" s="1"/>
  <c r="I2" i="2" l="1"/>
  <c r="D31" i="12"/>
  <c r="D30" i="12"/>
  <c r="D29" i="12"/>
  <c r="D28" i="12"/>
  <c r="D27" i="12"/>
  <c r="D26" i="12"/>
  <c r="D25" i="12"/>
  <c r="D23" i="12"/>
  <c r="D22" i="12"/>
  <c r="D24" i="12"/>
  <c r="D21" i="12"/>
  <c r="D20" i="12"/>
  <c r="D18" i="12"/>
  <c r="D17" i="12"/>
  <c r="D19" i="12"/>
  <c r="D16" i="12"/>
  <c r="D15" i="12"/>
  <c r="D14" i="12"/>
  <c r="D13" i="12"/>
  <c r="D12" i="12"/>
  <c r="D11" i="12"/>
  <c r="D10" i="12"/>
  <c r="D9" i="12"/>
  <c r="D7" i="12"/>
  <c r="D5" i="12"/>
  <c r="D6" i="12"/>
  <c r="D4" i="12"/>
  <c r="D3" i="12"/>
  <c r="D8" i="12"/>
  <c r="D2" i="12"/>
  <c r="G2" i="2"/>
  <c r="C2" i="2"/>
  <c r="H2" i="2"/>
  <c r="J11" i="12" l="1" a="1"/>
  <c r="J11" i="12" s="1"/>
  <c r="J14" i="12" a="1"/>
  <c r="J14" i="12" s="1"/>
  <c r="J7" i="12" a="1"/>
  <c r="J7" i="12" s="1"/>
  <c r="N7" i="12"/>
  <c r="K14" i="12"/>
  <c r="N23" i="12"/>
  <c r="J23" i="12" a="1"/>
  <c r="J23" i="12" s="1"/>
  <c r="J21" i="12" a="1"/>
  <c r="J21" i="12" s="1"/>
  <c r="N21" i="12"/>
  <c r="J6" i="12" a="1"/>
  <c r="J6" i="12" s="1"/>
  <c r="N6" i="12"/>
  <c r="N3" i="12"/>
  <c r="J3" i="12" a="1"/>
  <c r="J3" i="12" s="1"/>
  <c r="J19" i="12" a="1"/>
  <c r="J19" i="12" s="1"/>
  <c r="N19" i="12"/>
  <c r="N13" i="12"/>
  <c r="J13" i="12" a="1"/>
  <c r="J13" i="12" s="1"/>
  <c r="N27" i="12"/>
  <c r="J27" i="12" a="1"/>
  <c r="J27" i="12" s="1"/>
  <c r="N9" i="12"/>
  <c r="J9" i="12" a="1"/>
  <c r="J9" i="12" s="1"/>
  <c r="N24" i="12"/>
  <c r="J24" i="12" a="1"/>
  <c r="J24" i="12" s="1"/>
  <c r="J30" i="12" a="1"/>
  <c r="J30" i="12" s="1"/>
  <c r="N30" i="12"/>
  <c r="J2" i="12" a="1"/>
  <c r="J2" i="12" s="1"/>
  <c r="N11" i="12"/>
  <c r="N2" i="12"/>
  <c r="N14" i="12"/>
  <c r="N25" i="12"/>
  <c r="J25" i="12" a="1"/>
  <c r="J25" i="12" s="1"/>
  <c r="N4" i="12"/>
  <c r="J4" i="12" a="1"/>
  <c r="J4" i="12" s="1"/>
  <c r="N20" i="12"/>
  <c r="J20" i="12" a="1"/>
  <c r="J20" i="12" s="1"/>
  <c r="K11" i="12"/>
  <c r="N17" i="12"/>
  <c r="J17" i="12" a="1"/>
  <c r="J17" i="12" s="1"/>
  <c r="N28" i="12"/>
  <c r="J28" i="12" a="1"/>
  <c r="J28" i="12" s="1"/>
  <c r="N29" i="12"/>
  <c r="J29" i="12" a="1"/>
  <c r="J29" i="12" s="1"/>
  <c r="N22" i="12"/>
  <c r="J22" i="12" a="1"/>
  <c r="J22" i="12" s="1"/>
  <c r="N15" i="12"/>
  <c r="J15" i="12" a="1"/>
  <c r="J15" i="12" s="1"/>
  <c r="J5" i="12" a="1"/>
  <c r="J5" i="12" s="1"/>
  <c r="N5" i="12"/>
  <c r="J8" i="12" a="1"/>
  <c r="J8" i="12" s="1"/>
  <c r="N8" i="12"/>
  <c r="N10" i="12"/>
  <c r="J10" i="12" a="1"/>
  <c r="J10" i="12" s="1"/>
  <c r="J12" i="12" a="1"/>
  <c r="J12" i="12" s="1"/>
  <c r="N12" i="12"/>
  <c r="N16" i="12"/>
  <c r="J16" i="12" a="1"/>
  <c r="J16" i="12" s="1"/>
  <c r="N26" i="12"/>
  <c r="J26" i="12" a="1"/>
  <c r="J26" i="12" s="1"/>
  <c r="N31" i="12"/>
  <c r="J31" i="12" a="1"/>
  <c r="J31" i="12" s="1"/>
  <c r="N18" i="12"/>
  <c r="J18" i="12" a="1"/>
  <c r="J18" i="12" s="1"/>
  <c r="K12" i="12" l="1"/>
  <c r="K29" i="12"/>
  <c r="K24" i="12"/>
  <c r="K6" i="12"/>
  <c r="K9" i="12"/>
  <c r="K8" i="12"/>
  <c r="K13" i="12"/>
  <c r="K15" i="12"/>
  <c r="K23" i="12"/>
  <c r="K28" i="12"/>
  <c r="O31" i="12"/>
  <c r="Q31" i="12" s="1" a="1"/>
  <c r="Q31" i="12" s="1"/>
  <c r="S31" i="12" s="1"/>
  <c r="O30" i="12"/>
  <c r="Q30" i="12" s="1" a="1"/>
  <c r="Q30" i="12" s="1"/>
  <c r="S30" i="12" s="1"/>
  <c r="O29" i="12"/>
  <c r="Q29" i="12" s="1" a="1"/>
  <c r="Q29" i="12" s="1"/>
  <c r="S29" i="12" s="1"/>
  <c r="O28" i="12"/>
  <c r="Q28" i="12" s="1" a="1"/>
  <c r="Q28" i="12" s="1"/>
  <c r="S28" i="12" s="1"/>
  <c r="O27" i="12"/>
  <c r="Q27" i="12" s="1" a="1"/>
  <c r="Q27" i="12" s="1"/>
  <c r="S27" i="12" s="1"/>
  <c r="O26" i="12"/>
  <c r="Q26" i="12" s="1" a="1"/>
  <c r="Q26" i="12" s="1"/>
  <c r="S26" i="12" s="1"/>
  <c r="O25" i="12"/>
  <c r="Q25" i="12" s="1" a="1"/>
  <c r="Q25" i="12" s="1"/>
  <c r="S25" i="12" s="1"/>
  <c r="O23" i="12"/>
  <c r="Q23" i="12" s="1" a="1"/>
  <c r="Q23" i="12" s="1"/>
  <c r="S23" i="12" s="1"/>
  <c r="O22" i="12"/>
  <c r="Q22" i="12" s="1" a="1"/>
  <c r="Q22" i="12" s="1"/>
  <c r="S22" i="12" s="1"/>
  <c r="O24" i="12"/>
  <c r="Q24" i="12" s="1" a="1"/>
  <c r="Q24" i="12" s="1"/>
  <c r="S24" i="12" s="1"/>
  <c r="O21" i="12"/>
  <c r="Q21" i="12" s="1" a="1"/>
  <c r="Q21" i="12" s="1"/>
  <c r="S21" i="12" s="1"/>
  <c r="O20" i="12"/>
  <c r="Q20" i="12" s="1" a="1"/>
  <c r="Q20" i="12" s="1"/>
  <c r="S20" i="12" s="1"/>
  <c r="O18" i="12"/>
  <c r="Q18" i="12" s="1" a="1"/>
  <c r="Q18" i="12" s="1"/>
  <c r="S18" i="12" s="1"/>
  <c r="O15" i="12"/>
  <c r="Q15" i="12" s="1" a="1"/>
  <c r="Q15" i="12" s="1"/>
  <c r="S15" i="12" s="1"/>
  <c r="O7" i="12"/>
  <c r="Q7" i="12" s="1" a="1"/>
  <c r="Q7" i="12" s="1"/>
  <c r="S7" i="12" s="1"/>
  <c r="O3" i="12"/>
  <c r="Q3" i="12" s="1" a="1"/>
  <c r="Q3" i="12" s="1"/>
  <c r="S3" i="12" s="1"/>
  <c r="O6" i="12"/>
  <c r="Q6" i="12" s="1" a="1"/>
  <c r="Q6" i="12" s="1"/>
  <c r="S6" i="12" s="1"/>
  <c r="O5" i="12"/>
  <c r="Q5" i="12" s="1" a="1"/>
  <c r="Q5" i="12" s="1"/>
  <c r="S5" i="12" s="1"/>
  <c r="O17" i="12"/>
  <c r="Q17" i="12" s="1" a="1"/>
  <c r="Q17" i="12" s="1"/>
  <c r="S17" i="12" s="1"/>
  <c r="O12" i="12"/>
  <c r="Q12" i="12" s="1" a="1"/>
  <c r="Q12" i="12" s="1"/>
  <c r="S12" i="12" s="1"/>
  <c r="O11" i="12"/>
  <c r="Q11" i="12" s="1" a="1"/>
  <c r="Q11" i="12" s="1"/>
  <c r="S11" i="12" s="1"/>
  <c r="O4" i="12"/>
  <c r="Q4" i="12" s="1" a="1"/>
  <c r="Q4" i="12" s="1"/>
  <c r="S4" i="12" s="1"/>
  <c r="O8" i="12"/>
  <c r="Q8" i="12" s="1" a="1"/>
  <c r="Q8" i="12" s="1"/>
  <c r="S8" i="12" s="1"/>
  <c r="O16" i="12"/>
  <c r="Q16" i="12" s="1" a="1"/>
  <c r="Q16" i="12" s="1"/>
  <c r="S16" i="12" s="1"/>
  <c r="O13" i="12"/>
  <c r="Q13" i="12" s="1" a="1"/>
  <c r="Q13" i="12" s="1"/>
  <c r="S13" i="12" s="1"/>
  <c r="O9" i="12"/>
  <c r="Q9" i="12" s="1" a="1"/>
  <c r="Q9" i="12" s="1"/>
  <c r="S9" i="12" s="1"/>
  <c r="O2" i="12"/>
  <c r="Q2" i="12" s="1" a="1"/>
  <c r="Q2" i="12" s="1"/>
  <c r="S2" i="12" s="1"/>
  <c r="O14" i="12"/>
  <c r="Q14" i="12" s="1" a="1"/>
  <c r="Q14" i="12" s="1"/>
  <c r="S14" i="12" s="1"/>
  <c r="O10" i="12"/>
  <c r="Q10" i="12" s="1" a="1"/>
  <c r="Q10" i="12" s="1"/>
  <c r="S10" i="12" s="1"/>
  <c r="O19" i="12"/>
  <c r="Q19" i="12" s="1" a="1"/>
  <c r="Q19" i="12" s="1"/>
  <c r="S19" i="12" s="1"/>
  <c r="K18" i="12"/>
  <c r="K31" i="12"/>
  <c r="K20" i="12"/>
  <c r="K21" i="12"/>
  <c r="K2" i="12"/>
  <c r="K30" i="12"/>
  <c r="K10" i="12"/>
  <c r="K27" i="12"/>
  <c r="K5" i="12"/>
  <c r="K26" i="12"/>
  <c r="K22" i="12"/>
  <c r="K19" i="12"/>
  <c r="K16" i="12"/>
  <c r="K4" i="12"/>
  <c r="K25" i="12"/>
  <c r="K17" i="12"/>
  <c r="K3" i="12"/>
  <c r="K7" i="12"/>
  <c r="L21" i="12"/>
  <c r="M21" i="12" s="1" a="1"/>
  <c r="M21" i="12" s="1"/>
  <c r="L20" i="12"/>
  <c r="M20" i="12" s="1" a="1"/>
  <c r="M20" i="12" s="1"/>
  <c r="R18" i="12"/>
  <c r="R15" i="12"/>
  <c r="T15" i="12" s="1"/>
  <c r="L7" i="12"/>
  <c r="M7" i="12" s="1" a="1"/>
  <c r="M7" i="12" s="1"/>
  <c r="L25" i="12"/>
  <c r="M25" i="12" s="1" a="1"/>
  <c r="M25" i="12" s="1"/>
  <c r="L15" i="12"/>
  <c r="M15" i="12" s="1" a="1"/>
  <c r="M15" i="12" s="1"/>
  <c r="I21" i="12"/>
  <c r="R21" i="12" s="1" a="1"/>
  <c r="R21" i="12" s="1"/>
  <c r="L9" i="12"/>
  <c r="M9" i="12" s="1" a="1"/>
  <c r="M9" i="12" s="1"/>
  <c r="I15" i="12"/>
  <c r="R15" i="12" a="1"/>
  <c r="R27" i="12"/>
  <c r="T27" i="12" s="1"/>
  <c r="R28" i="12"/>
  <c r="I10" i="12"/>
  <c r="L10" i="12" s="1"/>
  <c r="M10" i="12" s="1" a="1"/>
  <c r="M10" i="12" s="1"/>
  <c r="R10" i="12" a="1"/>
  <c r="R10" i="12" s="1"/>
  <c r="L24" i="12"/>
  <c r="M24" i="12" a="1"/>
  <c r="M24" i="12" s="1"/>
  <c r="M27" i="12" a="1"/>
  <c r="M27" i="12" s="1"/>
  <c r="L27" i="12"/>
  <c r="I24" i="12"/>
  <c r="R24" i="12" s="1" a="1"/>
  <c r="R24" i="12" s="1"/>
  <c r="R18" i="12" a="1"/>
  <c r="R4" i="12" a="1"/>
  <c r="R4" i="12" s="1"/>
  <c r="L12" i="12"/>
  <c r="M12" i="12" s="1" a="1"/>
  <c r="M12" i="12" s="1"/>
  <c r="I5" i="12"/>
  <c r="R5" i="12" s="1" a="1"/>
  <c r="R5" i="12" s="1"/>
  <c r="R13" i="12" a="1"/>
  <c r="R13" i="12" s="1"/>
  <c r="L14" i="12"/>
  <c r="M14" i="12" a="1"/>
  <c r="M14" i="12" s="1"/>
  <c r="I19" i="12"/>
  <c r="R19" i="12" s="1" a="1"/>
  <c r="R19" i="12" s="1"/>
  <c r="I22" i="12"/>
  <c r="L22" i="12" s="1"/>
  <c r="M22" i="12" s="1" a="1"/>
  <c r="M22" i="12" s="1"/>
  <c r="R22" i="12" a="1"/>
  <c r="R22" i="12" s="1"/>
  <c r="R25" i="12"/>
  <c r="T25" i="12" s="1"/>
  <c r="I6" i="12"/>
  <c r="L6" i="12" s="1"/>
  <c r="M6" i="12" s="1" a="1"/>
  <c r="M6" i="12" s="1"/>
  <c r="R6" i="12" a="1"/>
  <c r="R6" i="12" s="1"/>
  <c r="I4" i="12"/>
  <c r="L4" i="12"/>
  <c r="M4" i="12" s="1" a="1"/>
  <c r="M4" i="12" s="1"/>
  <c r="I3" i="12"/>
  <c r="L3" i="12" s="1"/>
  <c r="M3" i="12" s="1" a="1"/>
  <c r="M3" i="12" s="1"/>
  <c r="R3" i="12" a="1"/>
  <c r="R3" i="12" s="1"/>
  <c r="I30" i="12"/>
  <c r="R30" i="12" s="1" a="1"/>
  <c r="R30" i="12" s="1"/>
  <c r="I31" i="12"/>
  <c r="L31" i="12" s="1"/>
  <c r="M31" i="12" s="1" a="1"/>
  <c r="M31" i="12" s="1"/>
  <c r="R31" i="12" a="1"/>
  <c r="R31" i="12" s="1"/>
  <c r="I20" i="12"/>
  <c r="R20" i="12" a="1"/>
  <c r="R20" i="12" s="1"/>
  <c r="I29" i="12"/>
  <c r="R29" i="12" s="1" a="1"/>
  <c r="R29" i="12" s="1"/>
  <c r="I27" i="12"/>
  <c r="R27" i="12" a="1"/>
  <c r="I25" i="12"/>
  <c r="R25" i="12" a="1"/>
  <c r="I7" i="12"/>
  <c r="R7" i="12" a="1"/>
  <c r="R7" i="12" s="1"/>
  <c r="I12" i="12"/>
  <c r="R12" i="12" a="1"/>
  <c r="R12" i="12" s="1"/>
  <c r="I9" i="12"/>
  <c r="R9" i="12" a="1"/>
  <c r="R9" i="12" s="1"/>
  <c r="I8" i="12"/>
  <c r="R8" i="12" s="1" a="1"/>
  <c r="R8" i="12" s="1"/>
  <c r="I14" i="12"/>
  <c r="R14" i="12" a="1"/>
  <c r="R14" i="12" s="1"/>
  <c r="I26" i="12"/>
  <c r="R26" i="12" s="1" a="1"/>
  <c r="R26" i="12" s="1"/>
  <c r="L26" i="12"/>
  <c r="M26" i="12" s="1" a="1"/>
  <c r="M26" i="12" s="1"/>
  <c r="I18" i="12"/>
  <c r="L18" i="12"/>
  <c r="M18" i="12" a="1"/>
  <c r="M18" i="12" s="1"/>
  <c r="R23" i="12"/>
  <c r="T23" i="12"/>
  <c r="I16" i="12"/>
  <c r="L16" i="12" s="1"/>
  <c r="M16" i="12" s="1" a="1"/>
  <c r="M16" i="12" s="1"/>
  <c r="R16" i="12" a="1"/>
  <c r="R16" i="12" s="1"/>
  <c r="I23" i="12"/>
  <c r="L23" i="12" s="1"/>
  <c r="M23" i="12" s="1" a="1"/>
  <c r="M23" i="12" s="1"/>
  <c r="R23" i="12" a="1"/>
  <c r="I2" i="12"/>
  <c r="L2" i="12" s="1"/>
  <c r="M2" i="12" s="1" a="1"/>
  <c r="M2" i="12" s="1"/>
  <c r="R2" i="12" a="1"/>
  <c r="R2" i="12" s="1"/>
  <c r="I13" i="12"/>
  <c r="L13" i="12"/>
  <c r="M13" i="12" a="1"/>
  <c r="M13" i="12" s="1"/>
  <c r="I17" i="12"/>
  <c r="L17" i="12" s="1"/>
  <c r="M17" i="12" s="1" a="1"/>
  <c r="M17" i="12" s="1"/>
  <c r="I28" i="12"/>
  <c r="L28" i="12" s="1"/>
  <c r="M28" i="12" s="1" a="1"/>
  <c r="M28" i="12" s="1"/>
  <c r="R28" i="12" a="1"/>
  <c r="T28" i="12"/>
  <c r="U28" i="12" s="1"/>
  <c r="V28" i="12" s="1"/>
  <c r="W28" i="12" s="1"/>
  <c r="I11" i="12"/>
  <c r="L11" i="12" s="1"/>
  <c r="M11" i="12" s="1" a="1"/>
  <c r="M11" i="12" s="1"/>
  <c r="R11" i="12" a="1"/>
  <c r="R11" i="12" s="1"/>
  <c r="T8" i="12" l="1"/>
  <c r="T4" i="12"/>
  <c r="T2" i="12"/>
  <c r="T3" i="12"/>
  <c r="T6" i="12"/>
  <c r="T7" i="12"/>
  <c r="X23" i="12" a="1"/>
  <c r="X23" i="12" s="1"/>
  <c r="T10" i="12"/>
  <c r="T11" i="12"/>
  <c r="T19" i="12"/>
  <c r="T24" i="12"/>
  <c r="T12" i="12"/>
  <c r="T29" i="12"/>
  <c r="T16" i="12"/>
  <c r="X25" i="12" a="1"/>
  <c r="X25" i="12" s="1"/>
  <c r="U25" i="12"/>
  <c r="V25" i="12" s="1"/>
  <c r="W25" i="12" s="1"/>
  <c r="T22" i="12"/>
  <c r="T20" i="12"/>
  <c r="T30" i="12"/>
  <c r="T9" i="12"/>
  <c r="U15" i="12"/>
  <c r="V15" i="12" s="1"/>
  <c r="W15" i="12" s="1"/>
  <c r="X15" i="12" s="1" a="1"/>
  <c r="X15" i="12" s="1"/>
  <c r="X27" i="12" a="1"/>
  <c r="X27" i="12" s="1"/>
  <c r="U27" i="12"/>
  <c r="T26" i="12"/>
  <c r="T13" i="12"/>
  <c r="T14" i="12"/>
  <c r="T31" i="12"/>
  <c r="T5" i="12"/>
  <c r="T21" i="12"/>
  <c r="L29" i="12"/>
  <c r="M29" i="12" s="1" a="1"/>
  <c r="M29" i="12" s="1"/>
  <c r="X28" i="12" a="1"/>
  <c r="X28" i="12" s="1"/>
  <c r="L5" i="12"/>
  <c r="M5" i="12" s="1" a="1"/>
  <c r="M5" i="12" s="1"/>
  <c r="V27" i="12"/>
  <c r="W27" i="12" s="1"/>
  <c r="U23" i="12"/>
  <c r="V23" i="12" s="1"/>
  <c r="W23" i="12" s="1"/>
  <c r="L30" i="12"/>
  <c r="M30" i="12" s="1" a="1"/>
  <c r="M30" i="12" s="1"/>
  <c r="T18" i="12"/>
  <c r="R17" i="12" a="1"/>
  <c r="R17" i="12" s="1"/>
  <c r="L19" i="12"/>
  <c r="M19" i="12" s="1" a="1"/>
  <c r="M19" i="12" s="1"/>
  <c r="L8" i="12"/>
  <c r="M8" i="12" s="1" a="1"/>
  <c r="M8" i="12" s="1"/>
  <c r="U6" i="12" l="1"/>
  <c r="V6" i="12" s="1"/>
  <c r="W6" i="12" s="1"/>
  <c r="X6" i="12" s="1" a="1"/>
  <c r="X6" i="12" s="1"/>
  <c r="U18" i="12"/>
  <c r="V18" i="12" s="1"/>
  <c r="W18" i="12" s="1"/>
  <c r="X18" i="12" a="1"/>
  <c r="X18" i="12" s="1"/>
  <c r="U11" i="12"/>
  <c r="V11" i="12" s="1"/>
  <c r="W11" i="12" s="1"/>
  <c r="X11" i="12" s="1" a="1"/>
  <c r="X11" i="12" s="1"/>
  <c r="U26" i="12"/>
  <c r="V26" i="12" s="1"/>
  <c r="W26" i="12" s="1"/>
  <c r="X26" i="12" a="1"/>
  <c r="X26" i="12" s="1"/>
  <c r="U3" i="12"/>
  <c r="V3" i="12" s="1"/>
  <c r="W3" i="12" s="1"/>
  <c r="X3" i="12" s="1" a="1"/>
  <c r="X3" i="12" s="1"/>
  <c r="U2" i="12"/>
  <c r="V2" i="12" s="1"/>
  <c r="W2" i="12" s="1"/>
  <c r="X2" i="12" s="1" a="1"/>
  <c r="X2" i="12" s="1"/>
  <c r="X16" i="12" a="1"/>
  <c r="X16" i="12" s="1"/>
  <c r="U16" i="12"/>
  <c r="V16" i="12" s="1"/>
  <c r="W16" i="12" s="1"/>
  <c r="U9" i="12"/>
  <c r="V9" i="12" s="1"/>
  <c r="W9" i="12" s="1"/>
  <c r="X9" i="12" s="1" a="1"/>
  <c r="X9" i="12" s="1"/>
  <c r="U5" i="12"/>
  <c r="V5" i="12" s="1"/>
  <c r="W5" i="12" s="1"/>
  <c r="X5" i="12" s="1" a="1"/>
  <c r="X5" i="12" s="1"/>
  <c r="X24" i="12" a="1"/>
  <c r="X24" i="12" s="1"/>
  <c r="U24" i="12"/>
  <c r="V24" i="12" s="1"/>
  <c r="W24" i="12" s="1"/>
  <c r="U4" i="12"/>
  <c r="V4" i="12" s="1"/>
  <c r="W4" i="12" s="1"/>
  <c r="X4" i="12" s="1" a="1"/>
  <c r="X4" i="12" s="1"/>
  <c r="U22" i="12"/>
  <c r="V22" i="12" s="1"/>
  <c r="W22" i="12" s="1"/>
  <c r="X22" i="12" a="1"/>
  <c r="X22" i="12" s="1"/>
  <c r="U29" i="12"/>
  <c r="V29" i="12" s="1"/>
  <c r="W29" i="12" s="1"/>
  <c r="X29" i="12" a="1"/>
  <c r="X29" i="12" s="1"/>
  <c r="U12" i="12"/>
  <c r="V12" i="12" s="1"/>
  <c r="W12" i="12" s="1"/>
  <c r="X12" i="12" s="1" a="1"/>
  <c r="X12" i="12" s="1"/>
  <c r="U30" i="12"/>
  <c r="V30" i="12" s="1"/>
  <c r="W30" i="12" s="1"/>
  <c r="X30" i="12" a="1"/>
  <c r="X30" i="12" s="1"/>
  <c r="U19" i="12"/>
  <c r="V19" i="12" s="1"/>
  <c r="W19" i="12" s="1"/>
  <c r="X19" i="12" a="1"/>
  <c r="X19" i="12" s="1"/>
  <c r="U10" i="12"/>
  <c r="V10" i="12" s="1"/>
  <c r="W10" i="12" s="1"/>
  <c r="X10" i="12" a="1"/>
  <c r="X10" i="12" s="1"/>
  <c r="X21" i="12" a="1"/>
  <c r="X21" i="12" s="1"/>
  <c r="U21" i="12"/>
  <c r="V21" i="12" s="1"/>
  <c r="W21" i="12" s="1"/>
  <c r="U31" i="12"/>
  <c r="V31" i="12" s="1"/>
  <c r="W31" i="12" s="1"/>
  <c r="X31" i="12" a="1"/>
  <c r="X31" i="12" s="1"/>
  <c r="U13" i="12"/>
  <c r="V13" i="12" s="1"/>
  <c r="W13" i="12" s="1"/>
  <c r="X13" i="12" s="1" a="1"/>
  <c r="X13" i="12" s="1"/>
  <c r="U7" i="12"/>
  <c r="V7" i="12" s="1"/>
  <c r="W7" i="12" s="1"/>
  <c r="X7" i="12" s="1" a="1"/>
  <c r="X7" i="12" s="1"/>
  <c r="T17" i="12"/>
  <c r="U14" i="12"/>
  <c r="V14" i="12" s="1"/>
  <c r="W14" i="12" s="1"/>
  <c r="X14" i="12" s="1" a="1"/>
  <c r="X14" i="12" s="1"/>
  <c r="U20" i="12"/>
  <c r="V20" i="12" s="1"/>
  <c r="W20" i="12" s="1"/>
  <c r="X20" i="12" s="1" a="1"/>
  <c r="X20" i="12" s="1"/>
  <c r="X8" i="12" a="1"/>
  <c r="X8" i="12" s="1"/>
  <c r="U8" i="12"/>
  <c r="V8" i="12" s="1"/>
  <c r="W8" i="12" s="1"/>
  <c r="X17" i="12" l="1" a="1"/>
  <c r="X17" i="12" s="1"/>
  <c r="U17" i="12"/>
  <c r="V17" i="12" s="1"/>
  <c r="W17" i="1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<sst xmlns="http://schemas.openxmlformats.org/spreadsheetml/2006/main" count="144" uniqueCount="84">
  <si>
    <t>category</t>
  </si>
  <si>
    <t>Snickers</t>
  </si>
  <si>
    <t>Reese's Peanut Butter Cups</t>
  </si>
  <si>
    <t>M&amp;M's</t>
  </si>
  <si>
    <t>Kit Kat</t>
  </si>
  <si>
    <t>Twix</t>
  </si>
  <si>
    <t>Hershey's Milk Chocolate Bar</t>
  </si>
  <si>
    <t>Skittles</t>
  </si>
  <si>
    <t>Starburst</t>
  </si>
  <si>
    <t>Sour Patch Kids</t>
  </si>
  <si>
    <t>Haribo Goldbears</t>
  </si>
  <si>
    <t>Jelly Belly Jelly Beans</t>
  </si>
  <si>
    <t>Mike and Ike</t>
  </si>
  <si>
    <t>Nerds</t>
  </si>
  <si>
    <t>Tootsie Roll</t>
  </si>
  <si>
    <t>Laffy Taffy</t>
  </si>
  <si>
    <t>Lay's Classic Potato Chips</t>
  </si>
  <si>
    <t>Doritos Nacho Cheese</t>
  </si>
  <si>
    <t>Cheetos Crunchy</t>
  </si>
  <si>
    <t>Pringles Original</t>
  </si>
  <si>
    <t>Ruffles Cheddar &amp; Sour Cream</t>
  </si>
  <si>
    <t>Cheez-It Crackers</t>
  </si>
  <si>
    <t>Ritz Crackers Snack Pack</t>
  </si>
  <si>
    <t>Wheat Thins</t>
  </si>
  <si>
    <t>Goldfish Crackers</t>
  </si>
  <si>
    <t>Planters Peanuts</t>
  </si>
  <si>
    <t>Trail Mix</t>
  </si>
  <si>
    <t>Granola Bar</t>
  </si>
  <si>
    <t>Protein Bar</t>
  </si>
  <si>
    <t>Popcorn (Microwave Bag)</t>
  </si>
  <si>
    <t>candy</t>
  </si>
  <si>
    <t>snack</t>
  </si>
  <si>
    <t>Period End Date</t>
  </si>
  <si>
    <t>Total Elapsed Days</t>
  </si>
  <si>
    <t>Today</t>
  </si>
  <si>
    <t>retail_price</t>
  </si>
  <si>
    <t>product_id</t>
  </si>
  <si>
    <t>product_name</t>
  </si>
  <si>
    <t>sale_id</t>
  </si>
  <si>
    <t>sale_date</t>
  </si>
  <si>
    <t>quantity</t>
  </si>
  <si>
    <t>purchase_id</t>
  </si>
  <si>
    <t>purchase_date</t>
  </si>
  <si>
    <t>snapshot_date</t>
  </si>
  <si>
    <t>qty_on_hand</t>
  </si>
  <si>
    <t>pack</t>
  </si>
  <si>
    <t>purchase_unit</t>
  </si>
  <si>
    <t>purchase_unit_size</t>
  </si>
  <si>
    <t>units_purchased</t>
  </si>
  <si>
    <t>total_qty_purchased</t>
  </si>
  <si>
    <t>received_date</t>
  </si>
  <si>
    <t>cost</t>
  </si>
  <si>
    <t>% of Sales</t>
  </si>
  <si>
    <t>Inventory Class</t>
  </si>
  <si>
    <t>Product Abbreviated</t>
  </si>
  <si>
    <t>Depletion Date</t>
  </si>
  <si>
    <t>Order Delivery Date</t>
  </si>
  <si>
    <t>Daily Velocity</t>
  </si>
  <si>
    <t>Weekly Velocity</t>
  </si>
  <si>
    <t>Product ID</t>
  </si>
  <si>
    <t>Category</t>
  </si>
  <si>
    <t>Product</t>
  </si>
  <si>
    <t>Purchase Unit Size</t>
  </si>
  <si>
    <t>Beg QTY</t>
  </si>
  <si>
    <t>Purchased</t>
  </si>
  <si>
    <t>Sold (SORT DESC)</t>
  </si>
  <si>
    <t>End QTY</t>
  </si>
  <si>
    <t>avg_unit_cost</t>
  </si>
  <si>
    <t>Running Total of % of Sales</t>
  </si>
  <si>
    <t>Lead Time</t>
  </si>
  <si>
    <t>Next Order Delivery Date</t>
  </si>
  <si>
    <t>Days Until Next Order Delivery Date</t>
  </si>
  <si>
    <t>Units to Order</t>
  </si>
  <si>
    <t>Purchase Units to Order</t>
  </si>
  <si>
    <t>Projected Days Until Depleted</t>
  </si>
  <si>
    <t>Period Start Date</t>
  </si>
  <si>
    <t>Current Days of Inventory</t>
  </si>
  <si>
    <t>Current Depletion Date</t>
  </si>
  <si>
    <t>Projected QTY on Hand after Delivery</t>
  </si>
  <si>
    <t>Target Days of Supply After Delivery</t>
  </si>
  <si>
    <t>Days Between Deliveries</t>
  </si>
  <si>
    <t>Target Inventory after Delivery</t>
  </si>
  <si>
    <t>Inventory at Delivery</t>
  </si>
  <si>
    <t>Snyderâ€™s Pretzels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</si>
</sst>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%"/>
  </numFmts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8">
    <xf numFmtId="0" fontId="0" fillId="0" borderId="0" xfId="0"/>
    <xf numFmtId="14" fontId="0" fillId="0" borderId="0" xfId="0" applyNumberFormat="1"/>
    <xf numFmtId="2" fontId="0" fillId="0" borderId="0" xfId="0" applyNumberFormat="1"/>
    <xf numFmtId="0" fontId="0" fillId="0" borderId="0" xfId="0" applyAlignment="1">
      <alignment horizontal="right"/>
    </xf>
    <xf numFmtId="1" fontId="0" fillId="0" borderId="0" xfId="0" applyNumberFormat="1"/>
    <xf numFmtId="9" fontId="0" fillId="0" borderId="0" xfId="1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9" fontId="0" fillId="0" borderId="0" xfId="1" applyFont="1" applyAlignment="1">
      <alignment wrapText="1"/>
    </xf>
    <xf numFmtId="1" fontId="0" fillId="0" borderId="0" xfId="0" applyNumberFormat="1" applyAlignment="1">
      <alignment wrapText="1"/>
    </xf>
    <xf numFmtId="0" fontId="3" fillId="0" borderId="0" xfId="0" applyFont="1" applyAlignment="1">
      <alignment wrapText="1"/>
    </xf>
    <xf numFmtId="1" fontId="0" fillId="0" borderId="0" xfId="0" applyNumberFormat="1" applyAlignment="1">
      <alignment horizontal="right"/>
    </xf>
    <xf numFmtId="14" fontId="0" fillId="0" borderId="0" xfId="0" applyNumberFormat="1" applyAlignment="1">
      <alignment horizontal="right"/>
    </xf>
    <xf numFmtId="2" fontId="0" fillId="0" borderId="0" xfId="0" applyNumberFormat="1" applyAlignment="1">
      <alignment wrapText="1"/>
    </xf>
    <xf numFmtId="0" fontId="0" fillId="0" borderId="0" xfId="0" applyAlignment="1">
      <alignment horizontal="left"/>
    </xf>
    <xf numFmtId="165" fontId="0" fillId="0" borderId="0" xfId="1" applyNumberFormat="1" applyFont="1"/>
    <xf numFmtId="2" fontId="0" fillId="0" borderId="0" xfId="0" applyNumberFormat="1" applyAlignment="1">
      <alignment horizontal="right"/>
    </xf>
    <xf numFmtId="49" fontId="0" fillId="0" borderId="0" xfId="0" applyNumberFormat="1"/>
  </cellXfs>
  <cellStyles count="2">
    <cellStyle name="Normal" xfId="0" builtinId="0"/>
    <cellStyle name="Percent" xfId="1" builtinId="5"/>
  </cellStyles>
  <dxfs count="44">
    <dxf>
      <numFmt numFmtId="0" formatCode="General"/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alignment horizontal="left" vertical="bottom" textRotation="0" wrapText="0" indent="0" justifyLastLine="0" shrinkToFit="0" readingOrder="0"/>
    </dxf>
    <dxf>
      <numFmt numFmtId="19" formatCode="m/d/yyyy"/>
    </dxf>
    <dxf>
      <numFmt numFmtId="30" formatCode="@"/>
    </dxf>
    <dxf>
      <numFmt numFmtId="19" formatCode="m/d/yyyy"/>
    </dxf>
    <dxf>
      <numFmt numFmtId="19" formatCode="m/d/yyyy"/>
    </dxf>
    <dxf>
      <numFmt numFmtId="30" formatCode="@"/>
    </dxf>
    <dxf>
      <numFmt numFmtId="19" formatCode="m/d/yyyy"/>
    </dxf>
    <dxf>
      <numFmt numFmtId="30" formatCode="@"/>
    </dxf>
    <dxf>
      <numFmt numFmtId="30" formatCode="@"/>
    </dxf>
    <dxf>
      <numFmt numFmtId="19" formatCode="m/d/yyyy"/>
      <alignment horizontal="right" vertical="bottom" textRotation="0" wrapText="0" indent="0" justifyLastLine="0" shrinkToFit="0" readingOrder="0"/>
    </dxf>
    <dxf>
      <numFmt numFmtId="1" formatCode="0"/>
      <alignment horizontal="right" vertical="bottom" textRotation="0" wrapText="0" indent="0" justifyLastLine="0" shrinkToFit="0" readingOrder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</dxf>
    <dxf>
      <numFmt numFmtId="165" formatCode="0.000%"/>
    </dxf>
    <dxf>
      <numFmt numFmtId="2" formatCode="0.00"/>
    </dxf>
    <dxf>
      <numFmt numFmtId="1" formatCode="0"/>
    </dxf>
    <dxf>
      <numFmt numFmtId="2" formatCode="0.00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0" formatCode="@"/>
    </dxf>
    <dxf>
      <numFmt numFmtId="1" formatCode="0"/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90CE8F9-F193-4D55-BCFF-C933DD2D386C}" name="tblProduct" displayName="tblProduct" ref="A1:G31" totalsRowShown="0">
  <autoFilter ref="A1:G31" xr:uid="{090CE8F9-F193-4D55-BCFF-C933DD2D386C}"/>
  <tableColumns count="7">
    <tableColumn id="1" xr3:uid="{C973AA85-696C-4CB7-9A33-E2BA71C5963E}" name="product_id" dataDxfId="19"/>
    <tableColumn id="2" xr3:uid="{D58B966E-5163-4E36-9BBD-ABFE0F517345}" name="category"/>
    <tableColumn id="3" xr3:uid="{C3E903B5-5F03-4A18-A862-68F9D9107E2A}" name="product_name"/>
    <tableColumn id="4" xr3:uid="{74B23178-84EF-43AC-8453-2CE70752AEB9}" name="purchase_unit"/>
    <tableColumn id="5" xr3:uid="{7AFD0FDF-0B48-4B5D-8BCA-41A250D499E0}" name="purchase_unit_size"/>
    <tableColumn id="6" xr3:uid="{B22B0087-A2E1-4F85-AF37-3F684392DA92}" name="avg_unit_cost"/>
    <tableColumn id="7" xr3:uid="{71B5A2A1-0532-44CB-87E8-7370D62973C7}" name="retail_pri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8C5EFDE-D05B-47A2-9902-013E1FDDE27B}" name="tblSales" displayName="tblSales" ref="A1:D673" totalsRowShown="0">
  <autoFilter ref="A1:D673" xr:uid="{E8C5EFDE-D05B-47A2-9902-013E1FDDE27B}"/>
  <tableColumns count="4">
    <tableColumn id="1" xr3:uid="{F2948D2F-F6B7-468C-9E12-1A3224C3EF8C}" name="sale_id"/>
    <tableColumn id="2" xr3:uid="{49188361-0E6E-41CC-82E9-342DE125C16C}" name="product_id" dataDxfId="18"/>
    <tableColumn id="3" xr3:uid="{4A45CC06-7B9E-432D-878E-D0C6EABEADC0}" name="sale_date" dataDxfId="17"/>
    <tableColumn id="4" xr3:uid="{36D0B523-991C-41E6-9806-D1BA552CC6DA}" name="quantity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F6009ABD-C50D-4646-BF05-808350367DCF}" name="tblPurchases" displayName="tblPurchases" ref="A1:G23" totalsRowShown="0">
  <autoFilter ref="A1:G23" xr:uid="{F6009ABD-C50D-4646-BF05-808350367DCF}"/>
  <sortState xmlns:xlrd2="http://schemas.microsoft.com/office/spreadsheetml/2017/richdata2" ref="A2:G23">
    <sortCondition ref="A1:A23"/>
  </sortState>
  <tableColumns count="7">
    <tableColumn id="1" xr3:uid="{E0B62549-1EA6-4A10-BE28-2A7403C017A9}" name="purchase_id"/>
    <tableColumn id="2" xr3:uid="{553FCD49-C879-463A-85C0-A80951D6952B}" name="product_id" dataDxfId="16"/>
    <tableColumn id="3" xr3:uid="{79115E0D-AF47-4D93-AF4E-F944706FB276}" name="purchase_date" dataDxfId="15"/>
    <tableColumn id="4" xr3:uid="{A67D7465-1905-48B7-B428-CCC7D8A7B834}" name="received_date" dataDxfId="14"/>
    <tableColumn id="5" xr3:uid="{50CF8E66-2EAC-46CE-84E2-D9A02330FFF4}" name="units_purchased"/>
    <tableColumn id="6" xr3:uid="{D25B385E-82AA-4C3C-A857-F53F2B01F84B}" name="total_qty_purchased"/>
    <tableColumn id="7" xr3:uid="{1BB4ECB0-1C3B-4B2B-834D-741994E58E03}" name="cos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8E087370-091A-4808-9711-7E6D2ED7423F}" name="tblInventorySnapshot" displayName="tblInventorySnapshot" ref="A1:C1081" totalsRowShown="0">
  <autoFilter ref="A1:C1081" xr:uid="{8E087370-091A-4808-9711-7E6D2ED7423F}"/>
  <sortState xmlns:xlrd2="http://schemas.microsoft.com/office/spreadsheetml/2017/richdata2" ref="A2:C1081">
    <sortCondition ref="B1:B1081"/>
  </sortState>
  <tableColumns count="3">
    <tableColumn id="1" xr3:uid="{3D5C73A0-BCF1-4343-9BAB-35885F87D123}" name="product_id" dataDxfId="13"/>
    <tableColumn id="2" xr3:uid="{B16E0E94-49E1-4D81-B839-D70404D48F69}" name="snapshot_date" dataDxfId="12"/>
    <tableColumn id="3" xr3:uid="{45D27AEA-8335-4854-ADE1-AE7A46284BEF}" name="qty_on_hand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250E5C0-38B7-42E4-8567-1A196CB933CE}" name="tblOrderReportPeriod" displayName="tblOrderReportPeriod" ref="A1:I2" totalsRowShown="0" headerRowDxfId="11">
  <autoFilter ref="A1:I2" xr:uid="{7250E5C0-38B7-42E4-8567-1A196CB933CE}"/>
  <tableColumns count="9">
    <tableColumn id="1" xr3:uid="{E66331B2-6016-4645-8BB2-FFFB235CDF43}" name="Period Start Date" dataDxfId="10"/>
    <tableColumn id="2" xr3:uid="{AFC28C9B-65DF-46F2-8E07-B7F04C3A411C}" name="Period End Date" dataDxfId="9"/>
    <tableColumn id="3" xr3:uid="{24BD6D1C-7740-4053-A8BA-E6D1D4DD4586}" name="Total Elapsed Days">
      <calculatedColumnFormula>B2-A2+1</calculatedColumnFormula>
    </tableColumn>
    <tableColumn id="5" xr3:uid="{4C570AE2-4070-4182-9ED0-12F87041B488}" name="Today" dataDxfId="8"/>
    <tableColumn id="6" xr3:uid="{D2235C76-2C89-4816-BC8E-26F2C3C65535}" name="Order Delivery Date" dataDxfId="7"/>
    <tableColumn id="7" xr3:uid="{4FFC4780-B8BC-432B-85F3-95F21167A615}" name="Next Order Delivery Date" dataDxfId="6"/>
    <tableColumn id="8" xr3:uid="{932403C0-39E7-4DBE-8E32-58F22A940B98}" name="Lead Time" dataDxfId="5">
      <calculatedColumnFormula>tblOrderReportPeriod[[#This Row],[Order Delivery Date]]-tblOrderReportPeriod[[#This Row],[Period End Date]]</calculatedColumnFormula>
    </tableColumn>
    <tableColumn id="9" xr3:uid="{2C200BC6-FA5E-4369-BB50-7B25D8412EA8}" name="Days Until Next Order Delivery Date" dataDxfId="4">
      <calculatedColumnFormula>tblOrderReportPeriod[[#This Row],[Next Order Delivery Date]]-tblOrderReportPeriod[[#This Row],[Period End Date]]</calculatedColumnFormula>
    </tableColumn>
    <tableColumn id="4" xr3:uid="{F181E996-42CD-4B8D-A924-0736FA28DFC4}" name="Days Between Deliveries" dataDxfId="3">
      <calculatedColumnFormula>tblOrderReportPeriod[[#This Row],[Next Order Delivery Date]]-tblOrderReportPeriod[[#This Row],[Order Delivery Date]]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149E5F29-8F62-4D65-9274-764530869BAE}" name="TblOrderRec" displayName="TblOrderRec" ref="A1:X31" totalsRowShown="0" headerRowDxfId="43">
  <autoFilter ref="A1:X31" xr:uid="{AC2DB210-8FB6-45FF-B68A-8D80F01282DE}"/>
  <sortState xmlns:xlrd2="http://schemas.microsoft.com/office/spreadsheetml/2017/richdata2" ref="A2:X31">
    <sortCondition descending="1" ref="H2:H31"/>
    <sortCondition ref="A2:A31"/>
  </sortState>
  <tableColumns count="24">
    <tableColumn id="1" xr3:uid="{8AE432AC-4192-4677-A90A-F382A4F51BFE}" name="Product ID" dataDxfId="42"/>
    <tableColumn id="2" xr3:uid="{6C275175-9C73-45D0-A9D9-95F54870F868}" name="Category" dataDxfId="41">
      <calculatedColumnFormula>_xlfn.XLOOKUP(TblOrderRec[[#This Row],[Product ID]],tblProduct[product_id],tblProduct[category])</calculatedColumnFormula>
    </tableColumn>
    <tableColumn id="3" xr3:uid="{F28E77A6-7A35-4DF3-80DF-9BB851CE81AC}" name="Product" dataDxfId="40">
      <calculatedColumnFormula>_xlfn.XLOOKUP(TblOrderRec[[#This Row],[Product ID]],tblProduct[product_id],tblProduct[product_name])</calculatedColumnFormula>
    </tableColumn>
    <tableColumn id="32" xr3:uid="{3186E719-A564-4A9C-8F52-7FA750830AAC}" name="Product Abbreviated" dataDxfId="39">
      <calculatedColumnFormula>IF(LEN(TblOrderRec[[#This Row],[Product]])&gt;15,LEFT(TblOrderRec[[#This Row],[Product]],12)&amp;"…",TblOrderRec[[#This Row],[Product]])</calculatedColumnFormula>
    </tableColumn>
    <tableColumn id="14" xr3:uid="{4EB480D8-D983-483A-AABA-C7FC88102AA3}" name="Purchase Unit Size" dataDxfId="38">
      <calculatedColumnFormula>_xlfn.XLOOKUP(TblOrderRec[[#This Row],[Product ID]],tblProduct[product_id],tblProduct[purchase_unit_size])</calculatedColumnFormula>
    </tableColumn>
    <tableColumn id="7" xr3:uid="{E6C3FFE3-1AFD-4960-92FD-604DEC0AAF5A}" name="Beg QTY" dataDxfId="0">
      <calculatedColumnFormula array="1">_xlfn.XLOOKUP(TblOrderRec[[#This Row],[Product ID]]&amp;tblOrderReportPeriod[Period Start Date],tblInventorySnapshot[product_id]&amp;tblInventorySnapshot[snapshot_date],tblInventorySnapshot[qty_on_hand])</calculatedColumnFormula>
    </tableColumn>
    <tableColumn id="9" xr3:uid="{D4282533-E095-4D48-A56E-220E28703384}" name="Purchased" dataDxfId="37">
      <calculatedColumnFormula array="1">SUMIFS(tblPurchases[total_qty_purchased],
tblPurchases[product_id],TblOrderRec[[#This Row],[Product ID]],
tblPurchases[received_date],"&gt;="&amp;tblOrderReportPeriod[Period Start Date],
tblPurchases[received_date],"&lt;="&amp;tblOrderReportPeriod[Period End Date])</calculatedColumnFormula>
    </tableColumn>
    <tableColumn id="10" xr3:uid="{B69EF8FC-A057-4F91-A1AA-563BDE5147A6}" name="Sold (SORT DESC)" dataDxfId="36">
      <calculatedColumnFormula array="1">SUMIFS(tblSales[quantity],
tblSales[product_id],TblOrderRec[[#This Row],[Product ID]],
tblSales[sale_date],"&gt;="&amp;tblOrderReportPeriod[Period Start Date],
tblSales[sale_date],"&lt;="&amp;tblOrderReportPeriod[Period End Date])</calculatedColumnFormula>
    </tableColumn>
    <tableColumn id="11" xr3:uid="{00B26E5D-8908-40DE-96DE-721CA0CDFCBB}" name="End QTY" dataDxfId="35">
      <calculatedColumnFormula>TblOrderRec[[#This Row],[Beg QTY]]+TblOrderRec[[#This Row],[Purchased]]-TblOrderRec[[#This Row],[Sold (SORT DESC)]]</calculatedColumnFormula>
    </tableColumn>
    <tableColumn id="12" xr3:uid="{CF89FDB9-A1F6-41AD-A113-E17DFEF4873E}" name="Daily Velocity" dataDxfId="34">
      <calculatedColumnFormula array="1">TblOrderRec[[#This Row],[Sold (SORT DESC)]]/tblOrderReportPeriod[Total Elapsed Days]</calculatedColumnFormula>
    </tableColumn>
    <tableColumn id="13" xr3:uid="{EDFC1AE6-126E-4061-BD7C-13789805DDE3}" name="Weekly Velocity" dataDxfId="33">
      <calculatedColumnFormula>TblOrderRec[[#This Row],[Daily Velocity]]*7</calculatedColumnFormula>
    </tableColumn>
    <tableColumn id="19" xr3:uid="{FBB31CB9-5CC9-4190-A44A-D84DC3609693}" name="Current Days of Inventory" dataDxfId="32">
      <calculatedColumnFormula>_xlfn.FLOOR.MATH(TblOrderRec[[#This Row],[End QTY]]/TblOrderRec[[#This Row],[Daily Velocity]])</calculatedColumnFormula>
    </tableColumn>
    <tableColumn id="18" xr3:uid="{F1CF04A0-09D6-474F-8372-9E08F0C30D59}" name="Current Depletion Date" dataDxfId="31">
      <calculatedColumnFormula array="1">tblOrderReportPeriod[Period End Date]+TblOrderRec[[#This Row],[Current Days of Inventory]]</calculatedColumnFormula>
    </tableColumn>
    <tableColumn id="4" xr3:uid="{0F160420-88AF-4A9C-87BD-EDE9F0272756}" name="% of Sales" dataDxfId="30" dataCellStyle="Percent">
      <calculatedColumnFormula>TblOrderRec[[#This Row],[Sold (SORT DESC)]]/SUM(TblOrderRec[Sold (SORT DESC)])</calculatedColumnFormula>
    </tableColumn>
    <tableColumn id="8" xr3:uid="{521A136D-7F57-4AF5-A222-9146DE4E96CF}" name="Running Total of % of Sales" dataDxfId="29" dataCellStyle="Percent">
      <calculatedColumnFormula>SUM($N$2:N2)</calculatedColumnFormula>
    </tableColumn>
    <tableColumn id="22" xr3:uid="{D03D7468-3E0C-4B8E-924C-9DFC27AA7943}" name="Inventory Class" dataDxfId="28" dataCellStyle="Percent">
      <calculatedColumnFormula array="1">_xlfn.IFS(TblOrderRec[[#This Row],[Running Total of % of Sales]]&lt;=0.8,"A – Top Sellers",
TblOrderRec[[#This Row],[Running Total of % of Sales]]&lt;=0.95,"B – Mid Sellers",
TRUE,"C – Low Sellers"
)</calculatedColumnFormula>
    </tableColumn>
    <tableColumn id="23" xr3:uid="{6A745369-26BD-4DC2-82BA-2026B950ACF8}" name="Target Days of Supply After Delivery" dataDxfId="27" dataCellStyle="Percent">
      <calculatedColumnFormula array="1">_xlfn.IFS(
TblOrderRec[[#This Row],[Running Total of % of Sales]]&lt;=0.8, 14+tblOrderReportPeriod[Days Between Deliveries],
TblOrderRec[[#This Row],[Running Total of % of Sales]]&lt;=0.95, 7+tblOrderReportPeriod[Days Between Deliveries],
TRUE,tblOrderReportPeriod[Days Between Deliveries]
)</calculatedColumnFormula>
    </tableColumn>
    <tableColumn id="26" xr3:uid="{EABA08B8-8D6E-49D4-8DC8-9709A48E1F55}" name="Inventory at Delivery" dataDxfId="26">
      <calculatedColumnFormula array="1">IF(TblOrderRec[[#This Row],[End QTY]]-_xlfn.CEILING.MATH((tblOrderReportPeriod[Lead Time]*TblOrderRec[[#This Row],[Daily Velocity]]))&gt;=0,TblOrderRec[[#This Row],[End QTY]]-_xlfn.CEILING.MATH((tblOrderReportPeriod[Lead Time]*TblOrderRec[[#This Row],[Daily Velocity]])),0)</calculatedColumnFormula>
    </tableColumn>
    <tableColumn id="31" xr3:uid="{143DE5BC-1BAF-4440-81DA-9C66BCE4A30D}" name="Target Inventory after Delivery" dataDxfId="25">
      <calculatedColumnFormula>_xlfn.CEILING.MATH(TblOrderRec[[#This Row],[Daily Velocity]]*TblOrderRec[[#This Row],[Target Days of Supply After Delivery]])</calculatedColumnFormula>
    </tableColumn>
    <tableColumn id="27" xr3:uid="{0F23F4E0-BBCC-4087-B18B-774CE3FFBDDD}" name="Units to Order" dataDxfId="24">
      <calculatedColumnFormula>MAX(TblOrderRec[[#This Row],[Target Inventory after Delivery]]-TblOrderRec[[#This Row],[Inventory at Delivery]],0)</calculatedColumnFormula>
    </tableColumn>
    <tableColumn id="28" xr3:uid="{28E82DFC-3E92-4E14-BBBF-E1E84F06A76F}" name="Purchase Units to Order" dataDxfId="23">
      <calculatedColumnFormula>ROUNDUP(TblOrderRec[[#This Row],[Units to Order]]/TblOrderRec[[#This Row],[Purchase Unit Size]],0)</calculatedColumnFormula>
    </tableColumn>
    <tableColumn id="20" xr3:uid="{D8077A33-1F6E-42D2-B2C5-7CA3B51A229F}" name="Projected QTY on Hand after Delivery" dataDxfId="22">
      <calculatedColumnFormula>TblOrderRec[[#This Row],[Inventory at Delivery]]+(TblOrderRec[[#This Row],[Purchase Units to Order]]*TblOrderRec[[#This Row],[Purchase Unit Size]])</calculatedColumnFormula>
    </tableColumn>
    <tableColumn id="15" xr3:uid="{B313ED4E-CEC3-4B94-B13C-CBC8DAAFCD89}" name="Projected Days Until Depleted" dataDxfId="21">
      <calculatedColumnFormula>IFERROR(ROUNDDOWN(TblOrderRec[[#This Row],[Projected QTY on Hand after Delivery]]/TblOrderRec[[#This Row],[Daily Velocity]],0),"NULL")</calculatedColumnFormula>
    </tableColumn>
    <tableColumn id="5" xr3:uid="{E5CE0441-7D2C-4392-BD5B-36A382BA833A}" name="Depletion Date" dataDxfId="20">
      <calculatedColumnFormula array="1">IF(TblOrderRec[[#This Row],[Units to Order]]=0,TblOrderRec[[#This Row],[Current Depletion Date]],tblOrderReportPeriod[Order Delivery Date]+TblOrderRec[[#This Row],[Projected Days Until Depleted]])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2845E-44FC-41FA-AACC-607FE60DB3A8}">
  <dimension ref="A1:G31"/>
  <sheetViews>
    <sheetView workbookViewId="0">
      <selection activeCell="C13" sqref="C13"/>
    </sheetView>
  </sheetViews>
  <sheetFormatPr defaultRowHeight="15" x14ac:dyDescent="0.25"/>
  <cols>
    <col min="1" max="1" width="12.7109375" customWidth="1"/>
    <col min="2" max="2" width="10.7109375" customWidth="1"/>
    <col min="3" max="3" width="16" customWidth="1"/>
    <col min="4" max="4" width="15.7109375" customWidth="1"/>
    <col min="5" max="5" width="20.140625" customWidth="1"/>
    <col min="6" max="6" width="15.28515625" customWidth="1"/>
    <col min="7" max="7" width="13.28515625" customWidth="1"/>
  </cols>
  <sheetData>
    <row r="1" spans="1:7" x14ac:dyDescent="0.25">
      <c r="A1" t="s">
        <v>36</v>
      </c>
      <c r="B1" t="s">
        <v>0</v>
      </c>
      <c r="C1" t="s">
        <v>37</v>
      </c>
      <c r="D1" t="s">
        <v>46</v>
      </c>
      <c r="E1" t="s">
        <v>47</v>
      </c>
      <c r="F1" t="s">
        <v>67</v>
      </c>
      <c r="G1" t="s">
        <v>35</v>
      </c>
    </row>
    <row r="2" spans="1:7" x14ac:dyDescent="0.25">
      <c r="A2" s="17">
        <v>1088638</v>
      </c>
      <c r="B2" t="s">
        <v>31</v>
      </c>
      <c r="C2" t="s">
        <v>28</v>
      </c>
      <c r="D2" t="s">
        <v>45</v>
      </c>
      <c r="E2">
        <v>24</v>
      </c>
      <c r="F2">
        <v>1.5592999999999999</v>
      </c>
      <c r="G2">
        <v>3.49</v>
      </c>
    </row>
    <row r="3" spans="1:7" x14ac:dyDescent="0.25">
      <c r="A3" s="17">
        <v>1253167</v>
      </c>
      <c r="B3" t="s">
        <v>31</v>
      </c>
      <c r="C3" t="s">
        <v>16</v>
      </c>
      <c r="D3" t="s">
        <v>45</v>
      </c>
      <c r="E3">
        <v>24</v>
      </c>
      <c r="F3">
        <v>1.1068</v>
      </c>
      <c r="G3">
        <v>2.69</v>
      </c>
    </row>
    <row r="4" spans="1:7" x14ac:dyDescent="0.25">
      <c r="A4" s="17">
        <v>1331817</v>
      </c>
      <c r="B4" t="s">
        <v>31</v>
      </c>
      <c r="C4" t="s">
        <v>25</v>
      </c>
      <c r="D4" t="s">
        <v>45</v>
      </c>
      <c r="E4">
        <v>24</v>
      </c>
      <c r="F4">
        <v>0.9556</v>
      </c>
      <c r="G4">
        <v>2.29</v>
      </c>
    </row>
    <row r="5" spans="1:7" x14ac:dyDescent="0.25">
      <c r="A5" s="17">
        <v>1711217</v>
      </c>
      <c r="B5" t="s">
        <v>31</v>
      </c>
      <c r="C5" t="s">
        <v>20</v>
      </c>
      <c r="D5" t="s">
        <v>45</v>
      </c>
      <c r="E5">
        <v>24</v>
      </c>
      <c r="F5">
        <v>1.1553</v>
      </c>
      <c r="G5">
        <v>2.69</v>
      </c>
    </row>
    <row r="6" spans="1:7" x14ac:dyDescent="0.25">
      <c r="A6" s="17">
        <v>2012714</v>
      </c>
      <c r="B6" t="s">
        <v>31</v>
      </c>
      <c r="C6" t="s">
        <v>23</v>
      </c>
      <c r="D6" t="s">
        <v>45</v>
      </c>
      <c r="E6">
        <v>24</v>
      </c>
      <c r="F6">
        <v>1.1063000000000001</v>
      </c>
      <c r="G6">
        <v>2.4900000000000002</v>
      </c>
    </row>
    <row r="7" spans="1:7" x14ac:dyDescent="0.25">
      <c r="A7" s="17">
        <v>2310329</v>
      </c>
      <c r="B7" t="s">
        <v>30</v>
      </c>
      <c r="C7" t="s">
        <v>3</v>
      </c>
      <c r="D7" t="s">
        <v>45</v>
      </c>
      <c r="E7">
        <v>28</v>
      </c>
      <c r="F7">
        <v>0.9587</v>
      </c>
      <c r="G7">
        <v>2.29</v>
      </c>
    </row>
    <row r="8" spans="1:7" x14ac:dyDescent="0.25">
      <c r="A8" s="17">
        <v>2424707</v>
      </c>
      <c r="B8" t="s">
        <v>30</v>
      </c>
      <c r="C8" t="s">
        <v>11</v>
      </c>
      <c r="D8" t="s">
        <v>45</v>
      </c>
      <c r="E8">
        <v>28</v>
      </c>
      <c r="F8">
        <v>1.2078</v>
      </c>
      <c r="G8">
        <v>2.79</v>
      </c>
    </row>
    <row r="9" spans="1:7" x14ac:dyDescent="0.25">
      <c r="A9" s="17">
        <v>2732499</v>
      </c>
      <c r="B9" t="s">
        <v>31</v>
      </c>
      <c r="C9" t="s">
        <v>22</v>
      </c>
      <c r="D9" t="s">
        <v>45</v>
      </c>
      <c r="E9">
        <v>24</v>
      </c>
      <c r="F9">
        <v>1.0564</v>
      </c>
      <c r="G9">
        <v>2.4900000000000002</v>
      </c>
    </row>
    <row r="10" spans="1:7" x14ac:dyDescent="0.25">
      <c r="A10" s="17">
        <v>2858379</v>
      </c>
      <c r="B10" t="s">
        <v>30</v>
      </c>
      <c r="C10" t="s">
        <v>4</v>
      </c>
      <c r="D10" t="s">
        <v>45</v>
      </c>
      <c r="E10">
        <v>28</v>
      </c>
      <c r="F10">
        <v>0.92630000000000001</v>
      </c>
      <c r="G10">
        <v>2.19</v>
      </c>
    </row>
    <row r="11" spans="1:7" x14ac:dyDescent="0.25">
      <c r="A11" s="17">
        <v>2982488</v>
      </c>
      <c r="B11" t="s">
        <v>31</v>
      </c>
      <c r="C11" t="s">
        <v>29</v>
      </c>
      <c r="D11" t="s">
        <v>45</v>
      </c>
      <c r="E11">
        <v>24</v>
      </c>
      <c r="F11">
        <v>0.85540000000000005</v>
      </c>
      <c r="G11">
        <v>1.99</v>
      </c>
    </row>
    <row r="12" spans="1:7" x14ac:dyDescent="0.25">
      <c r="A12" s="17">
        <v>3894456</v>
      </c>
      <c r="B12" t="s">
        <v>31</v>
      </c>
      <c r="C12" t="s">
        <v>18</v>
      </c>
      <c r="D12" t="s">
        <v>45</v>
      </c>
      <c r="E12">
        <v>24</v>
      </c>
      <c r="F12">
        <v>1.1573</v>
      </c>
      <c r="G12">
        <v>2.69</v>
      </c>
    </row>
    <row r="13" spans="1:7" x14ac:dyDescent="0.25">
      <c r="A13" s="17">
        <v>4255235</v>
      </c>
      <c r="B13" t="s">
        <v>31</v>
      </c>
      <c r="C13" t="s">
        <v>21</v>
      </c>
      <c r="D13" t="s">
        <v>45</v>
      </c>
      <c r="E13">
        <v>24</v>
      </c>
      <c r="F13">
        <v>1.1075999999999999</v>
      </c>
      <c r="G13">
        <v>2.4900000000000002</v>
      </c>
    </row>
    <row r="14" spans="1:7" x14ac:dyDescent="0.25">
      <c r="A14" s="17">
        <v>5619128</v>
      </c>
      <c r="B14" t="s">
        <v>31</v>
      </c>
      <c r="C14" t="s">
        <v>17</v>
      </c>
      <c r="D14" t="s">
        <v>45</v>
      </c>
      <c r="E14">
        <v>24</v>
      </c>
      <c r="F14">
        <v>1.2088000000000001</v>
      </c>
      <c r="G14">
        <v>2.79</v>
      </c>
    </row>
    <row r="15" spans="1:7" x14ac:dyDescent="0.25">
      <c r="A15" s="17">
        <v>5624747</v>
      </c>
      <c r="B15" t="s">
        <v>30</v>
      </c>
      <c r="C15" t="s">
        <v>8</v>
      </c>
      <c r="D15" t="s">
        <v>45</v>
      </c>
      <c r="E15">
        <v>28</v>
      </c>
      <c r="F15">
        <v>0.90580000000000005</v>
      </c>
      <c r="G15">
        <v>2.19</v>
      </c>
    </row>
    <row r="16" spans="1:7" x14ac:dyDescent="0.25">
      <c r="A16" s="17">
        <v>6230104</v>
      </c>
      <c r="B16" t="s">
        <v>30</v>
      </c>
      <c r="C16" t="s">
        <v>6</v>
      </c>
      <c r="D16" t="s">
        <v>45</v>
      </c>
      <c r="E16">
        <v>28</v>
      </c>
      <c r="F16">
        <v>0.9052</v>
      </c>
      <c r="G16">
        <v>2.19</v>
      </c>
    </row>
    <row r="17" spans="1:7" x14ac:dyDescent="0.25">
      <c r="A17" s="17">
        <v>6334728</v>
      </c>
      <c r="B17" t="s">
        <v>30</v>
      </c>
      <c r="C17" t="s">
        <v>7</v>
      </c>
      <c r="D17" t="s">
        <v>45</v>
      </c>
      <c r="E17">
        <v>28</v>
      </c>
      <c r="F17">
        <v>0.95540000000000003</v>
      </c>
      <c r="G17">
        <v>2.19</v>
      </c>
    </row>
    <row r="18" spans="1:7" x14ac:dyDescent="0.25">
      <c r="A18" s="17">
        <v>6341525</v>
      </c>
      <c r="B18" t="s">
        <v>31</v>
      </c>
      <c r="C18" t="s">
        <v>24</v>
      </c>
      <c r="D18" t="s">
        <v>45</v>
      </c>
      <c r="E18">
        <v>24</v>
      </c>
      <c r="F18">
        <v>1.008</v>
      </c>
      <c r="G18">
        <v>2.39</v>
      </c>
    </row>
    <row r="19" spans="1:7" x14ac:dyDescent="0.25">
      <c r="A19" s="17">
        <v>6825224</v>
      </c>
      <c r="B19" t="s">
        <v>31</v>
      </c>
      <c r="C19" t="s">
        <v>19</v>
      </c>
      <c r="D19" t="s">
        <v>45</v>
      </c>
      <c r="E19">
        <v>24</v>
      </c>
      <c r="F19">
        <v>1.2597</v>
      </c>
      <c r="G19">
        <v>2.99</v>
      </c>
    </row>
    <row r="20" spans="1:7" x14ac:dyDescent="0.25">
      <c r="A20" s="17">
        <v>6828260</v>
      </c>
      <c r="B20" t="s">
        <v>30</v>
      </c>
      <c r="C20" t="s">
        <v>2</v>
      </c>
      <c r="D20" t="s">
        <v>45</v>
      </c>
      <c r="E20">
        <v>28</v>
      </c>
      <c r="F20">
        <v>0.98529999999999995</v>
      </c>
      <c r="G20">
        <v>2.29</v>
      </c>
    </row>
    <row r="21" spans="1:7" x14ac:dyDescent="0.25">
      <c r="A21" s="17">
        <v>7023463</v>
      </c>
      <c r="B21" t="s">
        <v>31</v>
      </c>
      <c r="C21" t="s">
        <v>26</v>
      </c>
      <c r="D21" t="s">
        <v>45</v>
      </c>
      <c r="E21">
        <v>24</v>
      </c>
      <c r="F21">
        <v>1.3567</v>
      </c>
      <c r="G21">
        <v>2.99</v>
      </c>
    </row>
    <row r="22" spans="1:7" x14ac:dyDescent="0.25">
      <c r="A22" s="17">
        <v>7165581</v>
      </c>
      <c r="B22" t="s">
        <v>30</v>
      </c>
      <c r="C22" t="s">
        <v>1</v>
      </c>
      <c r="D22" t="s">
        <v>45</v>
      </c>
      <c r="E22">
        <v>28</v>
      </c>
      <c r="F22">
        <v>0.92989999999999995</v>
      </c>
      <c r="G22">
        <v>2.19</v>
      </c>
    </row>
    <row r="23" spans="1:7" x14ac:dyDescent="0.25">
      <c r="A23" s="17">
        <v>7747619</v>
      </c>
      <c r="B23" t="s">
        <v>30</v>
      </c>
      <c r="C23" t="s">
        <v>5</v>
      </c>
      <c r="D23" t="s">
        <v>45</v>
      </c>
      <c r="E23">
        <v>28</v>
      </c>
      <c r="F23">
        <v>0.95550000000000002</v>
      </c>
      <c r="G23">
        <v>2.29</v>
      </c>
    </row>
    <row r="24" spans="1:7" x14ac:dyDescent="0.25">
      <c r="A24" s="17">
        <v>7944400</v>
      </c>
      <c r="B24" t="s">
        <v>30</v>
      </c>
      <c r="C24" t="s">
        <v>14</v>
      </c>
      <c r="D24" t="s">
        <v>45</v>
      </c>
      <c r="E24">
        <v>28</v>
      </c>
      <c r="F24">
        <v>0.75600000000000001</v>
      </c>
      <c r="G24">
        <v>1.79</v>
      </c>
    </row>
    <row r="25" spans="1:7" x14ac:dyDescent="0.25">
      <c r="A25" s="17">
        <v>8306905</v>
      </c>
      <c r="B25" t="s">
        <v>30</v>
      </c>
      <c r="C25" t="s">
        <v>10</v>
      </c>
      <c r="D25" t="s">
        <v>45</v>
      </c>
      <c r="E25">
        <v>28</v>
      </c>
      <c r="F25">
        <v>0.90769999999999995</v>
      </c>
      <c r="G25">
        <v>2.29</v>
      </c>
    </row>
    <row r="26" spans="1:7" x14ac:dyDescent="0.25">
      <c r="A26" s="17">
        <v>8405468</v>
      </c>
      <c r="B26" t="s">
        <v>30</v>
      </c>
      <c r="C26" t="s">
        <v>13</v>
      </c>
      <c r="D26" t="s">
        <v>45</v>
      </c>
      <c r="E26">
        <v>28</v>
      </c>
      <c r="F26">
        <v>0.85919999999999996</v>
      </c>
      <c r="G26">
        <v>1.99</v>
      </c>
    </row>
    <row r="27" spans="1:7" x14ac:dyDescent="0.25">
      <c r="A27" s="17">
        <v>8551457</v>
      </c>
      <c r="B27" t="s">
        <v>31</v>
      </c>
      <c r="C27" t="s">
        <v>83</v>
      </c>
      <c r="D27" t="s">
        <v>45</v>
      </c>
      <c r="E27">
        <v>24</v>
      </c>
      <c r="F27">
        <v>1.0561</v>
      </c>
      <c r="G27">
        <v>2.4900000000000002</v>
      </c>
    </row>
    <row r="28" spans="1:7" x14ac:dyDescent="0.25">
      <c r="A28" s="17">
        <v>8860153</v>
      </c>
      <c r="B28" t="s">
        <v>30</v>
      </c>
      <c r="C28" t="s">
        <v>12</v>
      </c>
      <c r="D28" t="s">
        <v>45</v>
      </c>
      <c r="E28">
        <v>28</v>
      </c>
      <c r="F28">
        <v>0.80730000000000002</v>
      </c>
      <c r="G28">
        <v>1.89</v>
      </c>
    </row>
    <row r="29" spans="1:7" x14ac:dyDescent="0.25">
      <c r="A29" s="17">
        <v>9044404</v>
      </c>
      <c r="B29" t="s">
        <v>31</v>
      </c>
      <c r="C29" t="s">
        <v>27</v>
      </c>
      <c r="D29" t="s">
        <v>45</v>
      </c>
      <c r="E29">
        <v>24</v>
      </c>
      <c r="F29">
        <v>0.90539999999999998</v>
      </c>
      <c r="G29">
        <v>2.19</v>
      </c>
    </row>
    <row r="30" spans="1:7" x14ac:dyDescent="0.25">
      <c r="A30" s="17">
        <v>9115955</v>
      </c>
      <c r="B30" t="s">
        <v>30</v>
      </c>
      <c r="C30" t="s">
        <v>15</v>
      </c>
      <c r="D30" t="s">
        <v>45</v>
      </c>
      <c r="E30">
        <v>28</v>
      </c>
      <c r="F30">
        <v>0.65790000000000004</v>
      </c>
      <c r="G30">
        <v>1.59</v>
      </c>
    </row>
    <row r="31" spans="1:7" x14ac:dyDescent="0.25">
      <c r="A31" s="17">
        <v>9292315</v>
      </c>
      <c r="B31" t="s">
        <v>30</v>
      </c>
      <c r="C31" t="s">
        <v>9</v>
      </c>
      <c r="D31" t="s">
        <v>45</v>
      </c>
      <c r="E31">
        <v>28</v>
      </c>
      <c r="F31">
        <v>0.95530000000000004</v>
      </c>
      <c r="G31">
        <v>2.29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D1185-DE79-4F8A-BE5F-B78FDEC19E76}">
  <dimension ref="A1:D673"/>
  <sheetViews>
    <sheetView workbookViewId="0">
      <selection activeCell="B2" sqref="B2:B673"/>
    </sheetView>
  </sheetViews>
  <sheetFormatPr defaultRowHeight="15" x14ac:dyDescent="0.25"/>
  <cols>
    <col min="1" max="1" width="9.42578125" customWidth="1"/>
    <col min="2" max="2" width="12.7109375" customWidth="1"/>
    <col min="3" max="3" width="11.7109375" customWidth="1"/>
    <col min="4" max="4" width="10.5703125" customWidth="1"/>
  </cols>
  <sheetData>
    <row r="1" spans="1:4" x14ac:dyDescent="0.25">
      <c r="A1" t="s">
        <v>38</v>
      </c>
      <c r="B1" t="s">
        <v>36</v>
      </c>
      <c r="C1" t="s">
        <v>39</v>
      </c>
      <c r="D1" t="s">
        <v>40</v>
      </c>
    </row>
    <row r="2" spans="1:4" x14ac:dyDescent="0.25">
      <c r="A2">
        <v>100003</v>
      </c>
      <c r="B2" s="17">
        <v>1088638</v>
      </c>
      <c r="C2" s="1">
        <v>46022</v>
      </c>
      <c r="D2">
        <v>1</v>
      </c>
    </row>
    <row r="3" spans="1:4" x14ac:dyDescent="0.25">
      <c r="A3">
        <v>100009</v>
      </c>
      <c r="B3" s="17">
        <v>1088638</v>
      </c>
      <c r="C3" s="1">
        <v>46022</v>
      </c>
      <c r="D3">
        <v>2</v>
      </c>
    </row>
    <row r="4" spans="1:4" x14ac:dyDescent="0.25">
      <c r="A4">
        <v>100004</v>
      </c>
      <c r="B4" s="17">
        <v>1253167</v>
      </c>
      <c r="C4" s="1">
        <v>46022</v>
      </c>
      <c r="D4">
        <v>1</v>
      </c>
    </row>
    <row r="5" spans="1:4" x14ac:dyDescent="0.25">
      <c r="A5">
        <v>100008</v>
      </c>
      <c r="B5" s="17">
        <v>1253167</v>
      </c>
      <c r="C5" s="1">
        <v>46022</v>
      </c>
      <c r="D5">
        <v>1</v>
      </c>
    </row>
    <row r="6" spans="1:4" x14ac:dyDescent="0.25">
      <c r="A6">
        <v>100010</v>
      </c>
      <c r="B6" s="17">
        <v>1253167</v>
      </c>
      <c r="C6" s="1">
        <v>46022</v>
      </c>
      <c r="D6">
        <v>1</v>
      </c>
    </row>
    <row r="7" spans="1:4" x14ac:dyDescent="0.25">
      <c r="A7">
        <v>100003</v>
      </c>
      <c r="B7" s="17">
        <v>1711217</v>
      </c>
      <c r="C7" s="1">
        <v>46022</v>
      </c>
      <c r="D7">
        <v>1</v>
      </c>
    </row>
    <row r="8" spans="1:4" x14ac:dyDescent="0.25">
      <c r="A8">
        <v>100002</v>
      </c>
      <c r="B8" s="17">
        <v>2012714</v>
      </c>
      <c r="C8" s="1">
        <v>46022</v>
      </c>
      <c r="D8">
        <v>2</v>
      </c>
    </row>
    <row r="9" spans="1:4" x14ac:dyDescent="0.25">
      <c r="A9">
        <v>100010</v>
      </c>
      <c r="B9" s="17">
        <v>2012714</v>
      </c>
      <c r="C9" s="1">
        <v>46022</v>
      </c>
      <c r="D9">
        <v>1</v>
      </c>
    </row>
    <row r="10" spans="1:4" x14ac:dyDescent="0.25">
      <c r="A10">
        <v>100001</v>
      </c>
      <c r="B10" s="17">
        <v>2732499</v>
      </c>
      <c r="C10" s="1">
        <v>46022</v>
      </c>
      <c r="D10">
        <v>1</v>
      </c>
    </row>
    <row r="11" spans="1:4" x14ac:dyDescent="0.25">
      <c r="A11">
        <v>100004</v>
      </c>
      <c r="B11" s="17">
        <v>2732499</v>
      </c>
      <c r="C11" s="1">
        <v>46022</v>
      </c>
      <c r="D11">
        <v>1</v>
      </c>
    </row>
    <row r="12" spans="1:4" x14ac:dyDescent="0.25">
      <c r="A12">
        <v>100008</v>
      </c>
      <c r="B12" s="17">
        <v>2732499</v>
      </c>
      <c r="C12" s="1">
        <v>46022</v>
      </c>
      <c r="D12">
        <v>1</v>
      </c>
    </row>
    <row r="13" spans="1:4" x14ac:dyDescent="0.25">
      <c r="A13">
        <v>100005</v>
      </c>
      <c r="B13" s="17">
        <v>3894456</v>
      </c>
      <c r="C13" s="1">
        <v>46022</v>
      </c>
      <c r="D13">
        <v>1</v>
      </c>
    </row>
    <row r="14" spans="1:4" x14ac:dyDescent="0.25">
      <c r="A14">
        <v>100010</v>
      </c>
      <c r="B14" s="17">
        <v>3894456</v>
      </c>
      <c r="C14" s="1">
        <v>46022</v>
      </c>
      <c r="D14">
        <v>1</v>
      </c>
    </row>
    <row r="15" spans="1:4" x14ac:dyDescent="0.25">
      <c r="A15">
        <v>100007</v>
      </c>
      <c r="B15" s="17">
        <v>5624747</v>
      </c>
      <c r="C15" s="1">
        <v>46022</v>
      </c>
      <c r="D15">
        <v>2</v>
      </c>
    </row>
    <row r="16" spans="1:4" x14ac:dyDescent="0.25">
      <c r="A16">
        <v>100008</v>
      </c>
      <c r="B16" s="17">
        <v>7747619</v>
      </c>
      <c r="C16" s="1">
        <v>46022</v>
      </c>
      <c r="D16">
        <v>2</v>
      </c>
    </row>
    <row r="17" spans="1:4" x14ac:dyDescent="0.25">
      <c r="A17">
        <v>100009</v>
      </c>
      <c r="B17" s="17">
        <v>7747619</v>
      </c>
      <c r="C17" s="1">
        <v>46022</v>
      </c>
      <c r="D17">
        <v>1</v>
      </c>
    </row>
    <row r="18" spans="1:4" x14ac:dyDescent="0.25">
      <c r="A18">
        <v>100010</v>
      </c>
      <c r="B18" s="17">
        <v>7747619</v>
      </c>
      <c r="C18" s="1">
        <v>46022</v>
      </c>
      <c r="D18">
        <v>2</v>
      </c>
    </row>
    <row r="19" spans="1:4" x14ac:dyDescent="0.25">
      <c r="A19">
        <v>100006</v>
      </c>
      <c r="B19" s="17">
        <v>8405468</v>
      </c>
      <c r="C19" s="1">
        <v>46022</v>
      </c>
      <c r="D19">
        <v>3</v>
      </c>
    </row>
    <row r="20" spans="1:4" x14ac:dyDescent="0.25">
      <c r="A20">
        <v>100007</v>
      </c>
      <c r="B20" s="17">
        <v>8405468</v>
      </c>
      <c r="C20" s="1">
        <v>46022</v>
      </c>
      <c r="D20">
        <v>1</v>
      </c>
    </row>
    <row r="21" spans="1:4" x14ac:dyDescent="0.25">
      <c r="A21">
        <v>100009</v>
      </c>
      <c r="B21" s="17">
        <v>8405468</v>
      </c>
      <c r="C21" s="1">
        <v>46022</v>
      </c>
      <c r="D21">
        <v>1</v>
      </c>
    </row>
    <row r="22" spans="1:4" x14ac:dyDescent="0.25">
      <c r="A22">
        <v>100005</v>
      </c>
      <c r="B22" s="17">
        <v>9292315</v>
      </c>
      <c r="C22" s="1">
        <v>46022</v>
      </c>
      <c r="D22">
        <v>1</v>
      </c>
    </row>
    <row r="23" spans="1:4" x14ac:dyDescent="0.25">
      <c r="A23">
        <v>100012</v>
      </c>
      <c r="B23" s="17">
        <v>1088638</v>
      </c>
      <c r="C23" s="1">
        <v>46023</v>
      </c>
      <c r="D23">
        <v>1</v>
      </c>
    </row>
    <row r="24" spans="1:4" x14ac:dyDescent="0.25">
      <c r="A24">
        <v>100013</v>
      </c>
      <c r="B24" s="17">
        <v>1088638</v>
      </c>
      <c r="C24" s="1">
        <v>46023</v>
      </c>
      <c r="D24">
        <v>1</v>
      </c>
    </row>
    <row r="25" spans="1:4" x14ac:dyDescent="0.25">
      <c r="A25">
        <v>100019</v>
      </c>
      <c r="B25" s="17">
        <v>1088638</v>
      </c>
      <c r="C25" s="1">
        <v>46023</v>
      </c>
      <c r="D25">
        <v>1</v>
      </c>
    </row>
    <row r="26" spans="1:4" x14ac:dyDescent="0.25">
      <c r="A26">
        <v>100020</v>
      </c>
      <c r="B26" s="17">
        <v>1088638</v>
      </c>
      <c r="C26" s="1">
        <v>46023</v>
      </c>
      <c r="D26">
        <v>3</v>
      </c>
    </row>
    <row r="27" spans="1:4" x14ac:dyDescent="0.25">
      <c r="A27">
        <v>100016</v>
      </c>
      <c r="B27" s="17">
        <v>1253167</v>
      </c>
      <c r="C27" s="1">
        <v>46023</v>
      </c>
      <c r="D27">
        <v>3</v>
      </c>
    </row>
    <row r="28" spans="1:4" x14ac:dyDescent="0.25">
      <c r="A28">
        <v>100018</v>
      </c>
      <c r="B28" s="17">
        <v>1253167</v>
      </c>
      <c r="C28" s="1">
        <v>46023</v>
      </c>
      <c r="D28">
        <v>3</v>
      </c>
    </row>
    <row r="29" spans="1:4" x14ac:dyDescent="0.25">
      <c r="A29">
        <v>100014</v>
      </c>
      <c r="B29" s="17">
        <v>1711217</v>
      </c>
      <c r="C29" s="1">
        <v>46023</v>
      </c>
      <c r="D29">
        <v>1</v>
      </c>
    </row>
    <row r="30" spans="1:4" x14ac:dyDescent="0.25">
      <c r="A30">
        <v>100017</v>
      </c>
      <c r="B30" s="17">
        <v>1711217</v>
      </c>
      <c r="C30" s="1">
        <v>46023</v>
      </c>
      <c r="D30">
        <v>1</v>
      </c>
    </row>
    <row r="31" spans="1:4" x14ac:dyDescent="0.25">
      <c r="A31">
        <v>100020</v>
      </c>
      <c r="B31" s="17">
        <v>1711217</v>
      </c>
      <c r="C31" s="1">
        <v>46023</v>
      </c>
      <c r="D31">
        <v>1</v>
      </c>
    </row>
    <row r="32" spans="1:4" x14ac:dyDescent="0.25">
      <c r="A32">
        <v>100017</v>
      </c>
      <c r="B32" s="17">
        <v>2732499</v>
      </c>
      <c r="C32" s="1">
        <v>46023</v>
      </c>
      <c r="D32">
        <v>3</v>
      </c>
    </row>
    <row r="33" spans="1:4" x14ac:dyDescent="0.25">
      <c r="A33">
        <v>100018</v>
      </c>
      <c r="B33" s="17">
        <v>2732499</v>
      </c>
      <c r="C33" s="1">
        <v>46023</v>
      </c>
      <c r="D33">
        <v>1</v>
      </c>
    </row>
    <row r="34" spans="1:4" x14ac:dyDescent="0.25">
      <c r="A34">
        <v>100015</v>
      </c>
      <c r="B34" s="17">
        <v>3894456</v>
      </c>
      <c r="C34" s="1">
        <v>46023</v>
      </c>
      <c r="D34">
        <v>1</v>
      </c>
    </row>
    <row r="35" spans="1:4" x14ac:dyDescent="0.25">
      <c r="A35">
        <v>100019</v>
      </c>
      <c r="B35" s="17">
        <v>3894456</v>
      </c>
      <c r="C35" s="1">
        <v>46023</v>
      </c>
      <c r="D35">
        <v>2</v>
      </c>
    </row>
    <row r="36" spans="1:4" x14ac:dyDescent="0.25">
      <c r="A36">
        <v>100015</v>
      </c>
      <c r="B36" s="17">
        <v>4255235</v>
      </c>
      <c r="C36" s="1">
        <v>46023</v>
      </c>
      <c r="D36">
        <v>2</v>
      </c>
    </row>
    <row r="37" spans="1:4" x14ac:dyDescent="0.25">
      <c r="A37">
        <v>100016</v>
      </c>
      <c r="B37" s="17">
        <v>4255235</v>
      </c>
      <c r="C37" s="1">
        <v>46023</v>
      </c>
      <c r="D37">
        <v>1</v>
      </c>
    </row>
    <row r="38" spans="1:4" x14ac:dyDescent="0.25">
      <c r="A38">
        <v>100014</v>
      </c>
      <c r="B38" s="17">
        <v>5619128</v>
      </c>
      <c r="C38" s="1">
        <v>46023</v>
      </c>
      <c r="D38">
        <v>1</v>
      </c>
    </row>
    <row r="39" spans="1:4" x14ac:dyDescent="0.25">
      <c r="A39">
        <v>100020</v>
      </c>
      <c r="B39" s="17">
        <v>5619128</v>
      </c>
      <c r="C39" s="1">
        <v>46023</v>
      </c>
      <c r="D39">
        <v>1</v>
      </c>
    </row>
    <row r="40" spans="1:4" x14ac:dyDescent="0.25">
      <c r="A40">
        <v>100011</v>
      </c>
      <c r="B40" s="17">
        <v>8405468</v>
      </c>
      <c r="C40" s="1">
        <v>46023</v>
      </c>
      <c r="D40">
        <v>1</v>
      </c>
    </row>
    <row r="41" spans="1:4" x14ac:dyDescent="0.25">
      <c r="A41">
        <v>100013</v>
      </c>
      <c r="B41" s="17">
        <v>9292315</v>
      </c>
      <c r="C41" s="1">
        <v>46023</v>
      </c>
      <c r="D41">
        <v>1</v>
      </c>
    </row>
    <row r="42" spans="1:4" x14ac:dyDescent="0.25">
      <c r="A42">
        <v>100019</v>
      </c>
      <c r="B42" s="17">
        <v>9292315</v>
      </c>
      <c r="C42" s="1">
        <v>46023</v>
      </c>
      <c r="D42">
        <v>1</v>
      </c>
    </row>
    <row r="43" spans="1:4" x14ac:dyDescent="0.25">
      <c r="A43">
        <v>100026</v>
      </c>
      <c r="B43" s="17">
        <v>1253167</v>
      </c>
      <c r="C43" s="1">
        <v>46024</v>
      </c>
      <c r="D43">
        <v>1</v>
      </c>
    </row>
    <row r="44" spans="1:4" x14ac:dyDescent="0.25">
      <c r="A44">
        <v>100029</v>
      </c>
      <c r="B44" s="17">
        <v>1253167</v>
      </c>
      <c r="C44" s="1">
        <v>46024</v>
      </c>
      <c r="D44">
        <v>1</v>
      </c>
    </row>
    <row r="45" spans="1:4" x14ac:dyDescent="0.25">
      <c r="A45">
        <v>100031</v>
      </c>
      <c r="B45" s="17">
        <v>1253167</v>
      </c>
      <c r="C45" s="1">
        <v>46024</v>
      </c>
      <c r="D45">
        <v>1</v>
      </c>
    </row>
    <row r="46" spans="1:4" x14ac:dyDescent="0.25">
      <c r="A46">
        <v>100030</v>
      </c>
      <c r="B46" s="17">
        <v>1331817</v>
      </c>
      <c r="C46" s="1">
        <v>46024</v>
      </c>
      <c r="D46">
        <v>3</v>
      </c>
    </row>
    <row r="47" spans="1:4" x14ac:dyDescent="0.25">
      <c r="A47">
        <v>100032</v>
      </c>
      <c r="B47" s="17">
        <v>1331817</v>
      </c>
      <c r="C47" s="1">
        <v>46024</v>
      </c>
      <c r="D47">
        <v>2</v>
      </c>
    </row>
    <row r="48" spans="1:4" x14ac:dyDescent="0.25">
      <c r="A48">
        <v>100033</v>
      </c>
      <c r="B48" s="17">
        <v>1331817</v>
      </c>
      <c r="C48" s="1">
        <v>46024</v>
      </c>
      <c r="D48">
        <v>1</v>
      </c>
    </row>
    <row r="49" spans="1:4" x14ac:dyDescent="0.25">
      <c r="A49">
        <v>100028</v>
      </c>
      <c r="B49" s="17">
        <v>2732499</v>
      </c>
      <c r="C49" s="1">
        <v>46024</v>
      </c>
      <c r="D49">
        <v>1</v>
      </c>
    </row>
    <row r="50" spans="1:4" x14ac:dyDescent="0.25">
      <c r="A50">
        <v>100029</v>
      </c>
      <c r="B50" s="17">
        <v>2732499</v>
      </c>
      <c r="C50" s="1">
        <v>46024</v>
      </c>
      <c r="D50">
        <v>1</v>
      </c>
    </row>
    <row r="51" spans="1:4" x14ac:dyDescent="0.25">
      <c r="A51">
        <v>100032</v>
      </c>
      <c r="B51" s="17">
        <v>2732499</v>
      </c>
      <c r="C51" s="1">
        <v>46024</v>
      </c>
      <c r="D51">
        <v>1</v>
      </c>
    </row>
    <row r="52" spans="1:4" x14ac:dyDescent="0.25">
      <c r="A52">
        <v>100023</v>
      </c>
      <c r="B52" s="17">
        <v>3894456</v>
      </c>
      <c r="C52" s="1">
        <v>46024</v>
      </c>
      <c r="D52">
        <v>1</v>
      </c>
    </row>
    <row r="53" spans="1:4" x14ac:dyDescent="0.25">
      <c r="A53">
        <v>100025</v>
      </c>
      <c r="B53" s="17">
        <v>3894456</v>
      </c>
      <c r="C53" s="1">
        <v>46024</v>
      </c>
      <c r="D53">
        <v>1</v>
      </c>
    </row>
    <row r="54" spans="1:4" x14ac:dyDescent="0.25">
      <c r="A54">
        <v>100027</v>
      </c>
      <c r="B54" s="17">
        <v>6334728</v>
      </c>
      <c r="C54" s="1">
        <v>46024</v>
      </c>
      <c r="D54">
        <v>2</v>
      </c>
    </row>
    <row r="55" spans="1:4" x14ac:dyDescent="0.25">
      <c r="A55">
        <v>100032</v>
      </c>
      <c r="B55" s="17">
        <v>6334728</v>
      </c>
      <c r="C55" s="1">
        <v>46024</v>
      </c>
      <c r="D55">
        <v>1</v>
      </c>
    </row>
    <row r="56" spans="1:4" x14ac:dyDescent="0.25">
      <c r="A56">
        <v>100033</v>
      </c>
      <c r="B56" s="17">
        <v>6334728</v>
      </c>
      <c r="C56" s="1">
        <v>46024</v>
      </c>
      <c r="D56">
        <v>3</v>
      </c>
    </row>
    <row r="57" spans="1:4" x14ac:dyDescent="0.25">
      <c r="A57">
        <v>100022</v>
      </c>
      <c r="B57" s="17">
        <v>6828260</v>
      </c>
      <c r="C57" s="1">
        <v>46024</v>
      </c>
      <c r="D57">
        <v>1</v>
      </c>
    </row>
    <row r="58" spans="1:4" x14ac:dyDescent="0.25">
      <c r="A58">
        <v>100026</v>
      </c>
      <c r="B58" s="17">
        <v>8306905</v>
      </c>
      <c r="C58" s="1">
        <v>46024</v>
      </c>
      <c r="D58">
        <v>1</v>
      </c>
    </row>
    <row r="59" spans="1:4" x14ac:dyDescent="0.25">
      <c r="A59">
        <v>100028</v>
      </c>
      <c r="B59" s="17">
        <v>8306905</v>
      </c>
      <c r="C59" s="1">
        <v>46024</v>
      </c>
      <c r="D59">
        <v>1</v>
      </c>
    </row>
    <row r="60" spans="1:4" x14ac:dyDescent="0.25">
      <c r="A60">
        <v>100031</v>
      </c>
      <c r="B60" s="17">
        <v>8306905</v>
      </c>
      <c r="C60" s="1">
        <v>46024</v>
      </c>
      <c r="D60">
        <v>1</v>
      </c>
    </row>
    <row r="61" spans="1:4" x14ac:dyDescent="0.25">
      <c r="A61">
        <v>100024</v>
      </c>
      <c r="B61" s="17">
        <v>8405468</v>
      </c>
      <c r="C61" s="1">
        <v>46024</v>
      </c>
      <c r="D61">
        <v>1</v>
      </c>
    </row>
    <row r="62" spans="1:4" x14ac:dyDescent="0.25">
      <c r="A62">
        <v>100027</v>
      </c>
      <c r="B62" s="17">
        <v>8405468</v>
      </c>
      <c r="C62" s="1">
        <v>46024</v>
      </c>
      <c r="D62">
        <v>1</v>
      </c>
    </row>
    <row r="63" spans="1:4" x14ac:dyDescent="0.25">
      <c r="A63">
        <v>100028</v>
      </c>
      <c r="B63" s="17">
        <v>8405468</v>
      </c>
      <c r="C63" s="1">
        <v>46024</v>
      </c>
      <c r="D63">
        <v>1</v>
      </c>
    </row>
    <row r="64" spans="1:4" x14ac:dyDescent="0.25">
      <c r="A64">
        <v>100029</v>
      </c>
      <c r="B64" s="17">
        <v>8405468</v>
      </c>
      <c r="C64" s="1">
        <v>46024</v>
      </c>
      <c r="D64">
        <v>1</v>
      </c>
    </row>
    <row r="65" spans="1:4" x14ac:dyDescent="0.25">
      <c r="A65">
        <v>100030</v>
      </c>
      <c r="B65" s="17">
        <v>8405468</v>
      </c>
      <c r="C65" s="1">
        <v>46024</v>
      </c>
      <c r="D65">
        <v>1</v>
      </c>
    </row>
    <row r="66" spans="1:4" x14ac:dyDescent="0.25">
      <c r="A66">
        <v>100031</v>
      </c>
      <c r="B66" s="17">
        <v>8405468</v>
      </c>
      <c r="C66" s="1">
        <v>46024</v>
      </c>
      <c r="D66">
        <v>2</v>
      </c>
    </row>
    <row r="67" spans="1:4" x14ac:dyDescent="0.25">
      <c r="A67">
        <v>100025</v>
      </c>
      <c r="B67" s="17">
        <v>9044404</v>
      </c>
      <c r="C67" s="1">
        <v>46024</v>
      </c>
      <c r="D67">
        <v>1</v>
      </c>
    </row>
    <row r="68" spans="1:4" x14ac:dyDescent="0.25">
      <c r="A68">
        <v>100033</v>
      </c>
      <c r="B68" s="17">
        <v>9044404</v>
      </c>
      <c r="C68" s="1">
        <v>46024</v>
      </c>
      <c r="D68">
        <v>1</v>
      </c>
    </row>
    <row r="69" spans="1:4" x14ac:dyDescent="0.25">
      <c r="A69">
        <v>100021</v>
      </c>
      <c r="B69" s="17">
        <v>9292315</v>
      </c>
      <c r="C69" s="1">
        <v>46024</v>
      </c>
      <c r="D69">
        <v>1</v>
      </c>
    </row>
    <row r="70" spans="1:4" x14ac:dyDescent="0.25">
      <c r="A70">
        <v>100039</v>
      </c>
      <c r="B70" s="17">
        <v>1253167</v>
      </c>
      <c r="C70" s="1">
        <v>46025</v>
      </c>
      <c r="D70">
        <v>1</v>
      </c>
    </row>
    <row r="71" spans="1:4" x14ac:dyDescent="0.25">
      <c r="A71">
        <v>100041</v>
      </c>
      <c r="B71" s="17">
        <v>1253167</v>
      </c>
      <c r="C71" s="1">
        <v>46025</v>
      </c>
      <c r="D71">
        <v>1</v>
      </c>
    </row>
    <row r="72" spans="1:4" x14ac:dyDescent="0.25">
      <c r="A72">
        <v>100042</v>
      </c>
      <c r="B72" s="17">
        <v>1253167</v>
      </c>
      <c r="C72" s="1">
        <v>46025</v>
      </c>
      <c r="D72">
        <v>1</v>
      </c>
    </row>
    <row r="73" spans="1:4" x14ac:dyDescent="0.25">
      <c r="A73">
        <v>100043</v>
      </c>
      <c r="B73" s="17">
        <v>1253167</v>
      </c>
      <c r="C73" s="1">
        <v>46025</v>
      </c>
      <c r="D73">
        <v>0</v>
      </c>
    </row>
    <row r="74" spans="1:4" x14ac:dyDescent="0.25">
      <c r="A74">
        <v>100034</v>
      </c>
      <c r="B74" s="17">
        <v>1711217</v>
      </c>
      <c r="C74" s="1">
        <v>46025</v>
      </c>
      <c r="D74">
        <v>1</v>
      </c>
    </row>
    <row r="75" spans="1:4" x14ac:dyDescent="0.25">
      <c r="A75">
        <v>100038</v>
      </c>
      <c r="B75" s="17">
        <v>1711217</v>
      </c>
      <c r="C75" s="1">
        <v>46025</v>
      </c>
      <c r="D75">
        <v>1</v>
      </c>
    </row>
    <row r="76" spans="1:4" x14ac:dyDescent="0.25">
      <c r="A76">
        <v>100039</v>
      </c>
      <c r="B76" s="17">
        <v>1711217</v>
      </c>
      <c r="C76" s="1">
        <v>46025</v>
      </c>
      <c r="D76">
        <v>1</v>
      </c>
    </row>
    <row r="77" spans="1:4" x14ac:dyDescent="0.25">
      <c r="A77">
        <v>100043</v>
      </c>
      <c r="B77" s="17">
        <v>1711217</v>
      </c>
      <c r="C77" s="1">
        <v>46025</v>
      </c>
      <c r="D77">
        <v>1</v>
      </c>
    </row>
    <row r="78" spans="1:4" x14ac:dyDescent="0.25">
      <c r="A78">
        <v>100043</v>
      </c>
      <c r="B78" s="17">
        <v>2858379</v>
      </c>
      <c r="C78" s="1">
        <v>46025</v>
      </c>
      <c r="D78">
        <v>2</v>
      </c>
    </row>
    <row r="79" spans="1:4" x14ac:dyDescent="0.25">
      <c r="A79">
        <v>100040</v>
      </c>
      <c r="B79" s="17">
        <v>3894456</v>
      </c>
      <c r="C79" s="1">
        <v>46025</v>
      </c>
      <c r="D79">
        <v>3</v>
      </c>
    </row>
    <row r="80" spans="1:4" x14ac:dyDescent="0.25">
      <c r="A80">
        <v>100042</v>
      </c>
      <c r="B80" s="17">
        <v>5619128</v>
      </c>
      <c r="C80" s="1">
        <v>46025</v>
      </c>
      <c r="D80">
        <v>2</v>
      </c>
    </row>
    <row r="81" spans="1:4" x14ac:dyDescent="0.25">
      <c r="A81">
        <v>100037</v>
      </c>
      <c r="B81" s="17">
        <v>6334728</v>
      </c>
      <c r="C81" s="1">
        <v>46025</v>
      </c>
      <c r="D81">
        <v>2</v>
      </c>
    </row>
    <row r="82" spans="1:4" x14ac:dyDescent="0.25">
      <c r="A82">
        <v>100035</v>
      </c>
      <c r="B82" s="17">
        <v>7165581</v>
      </c>
      <c r="C82" s="1">
        <v>46025</v>
      </c>
      <c r="D82">
        <v>1</v>
      </c>
    </row>
    <row r="83" spans="1:4" x14ac:dyDescent="0.25">
      <c r="A83">
        <v>100036</v>
      </c>
      <c r="B83" s="17">
        <v>7165581</v>
      </c>
      <c r="C83" s="1">
        <v>46025</v>
      </c>
      <c r="D83">
        <v>1</v>
      </c>
    </row>
    <row r="84" spans="1:4" x14ac:dyDescent="0.25">
      <c r="A84">
        <v>100038</v>
      </c>
      <c r="B84" s="17">
        <v>7165581</v>
      </c>
      <c r="C84" s="1">
        <v>46025</v>
      </c>
      <c r="D84">
        <v>1</v>
      </c>
    </row>
    <row r="85" spans="1:4" x14ac:dyDescent="0.25">
      <c r="A85">
        <v>100039</v>
      </c>
      <c r="B85" s="17">
        <v>7165581</v>
      </c>
      <c r="C85" s="1">
        <v>46025</v>
      </c>
      <c r="D85">
        <v>1</v>
      </c>
    </row>
    <row r="86" spans="1:4" x14ac:dyDescent="0.25">
      <c r="A86">
        <v>100042</v>
      </c>
      <c r="B86" s="17">
        <v>7165581</v>
      </c>
      <c r="C86" s="1">
        <v>46025</v>
      </c>
      <c r="D86">
        <v>1</v>
      </c>
    </row>
    <row r="87" spans="1:4" x14ac:dyDescent="0.25">
      <c r="A87">
        <v>100043</v>
      </c>
      <c r="B87" s="17">
        <v>7165581</v>
      </c>
      <c r="C87" s="1">
        <v>46025</v>
      </c>
      <c r="D87">
        <v>1</v>
      </c>
    </row>
    <row r="88" spans="1:4" x14ac:dyDescent="0.25">
      <c r="A88">
        <v>100036</v>
      </c>
      <c r="B88" s="17">
        <v>8306905</v>
      </c>
      <c r="C88" s="1">
        <v>46025</v>
      </c>
      <c r="D88">
        <v>1</v>
      </c>
    </row>
    <row r="89" spans="1:4" x14ac:dyDescent="0.25">
      <c r="A89">
        <v>100041</v>
      </c>
      <c r="B89" s="17">
        <v>8306905</v>
      </c>
      <c r="C89" s="1">
        <v>46025</v>
      </c>
      <c r="D89">
        <v>4</v>
      </c>
    </row>
    <row r="90" spans="1:4" x14ac:dyDescent="0.25">
      <c r="A90">
        <v>100035</v>
      </c>
      <c r="B90" s="17">
        <v>8405468</v>
      </c>
      <c r="C90" s="1">
        <v>46025</v>
      </c>
      <c r="D90">
        <v>1</v>
      </c>
    </row>
    <row r="91" spans="1:4" x14ac:dyDescent="0.25">
      <c r="A91">
        <v>100037</v>
      </c>
      <c r="B91" s="17">
        <v>8405468</v>
      </c>
      <c r="C91" s="1">
        <v>46025</v>
      </c>
      <c r="D91">
        <v>1</v>
      </c>
    </row>
    <row r="92" spans="1:4" x14ac:dyDescent="0.25">
      <c r="A92">
        <v>100038</v>
      </c>
      <c r="B92" s="17">
        <v>8405468</v>
      </c>
      <c r="C92" s="1">
        <v>46025</v>
      </c>
      <c r="D92">
        <v>1</v>
      </c>
    </row>
    <row r="93" spans="1:4" x14ac:dyDescent="0.25">
      <c r="A93">
        <v>100042</v>
      </c>
      <c r="B93" s="17">
        <v>8405468</v>
      </c>
      <c r="C93" s="1">
        <v>46025</v>
      </c>
      <c r="D93">
        <v>2</v>
      </c>
    </row>
    <row r="94" spans="1:4" x14ac:dyDescent="0.25">
      <c r="A94">
        <v>100043</v>
      </c>
      <c r="B94" s="17">
        <v>8405468</v>
      </c>
      <c r="C94" s="1">
        <v>46025</v>
      </c>
      <c r="D94">
        <v>1</v>
      </c>
    </row>
    <row r="95" spans="1:4" x14ac:dyDescent="0.25">
      <c r="A95">
        <v>100040</v>
      </c>
      <c r="B95" s="17">
        <v>9292315</v>
      </c>
      <c r="C95" s="1">
        <v>46025</v>
      </c>
      <c r="D95">
        <v>1</v>
      </c>
    </row>
    <row r="96" spans="1:4" x14ac:dyDescent="0.25">
      <c r="A96">
        <v>100043</v>
      </c>
      <c r="B96" s="17">
        <v>9292315</v>
      </c>
      <c r="C96" s="1">
        <v>46025</v>
      </c>
      <c r="D96">
        <v>1</v>
      </c>
    </row>
    <row r="97" spans="1:4" x14ac:dyDescent="0.25">
      <c r="A97">
        <v>100047</v>
      </c>
      <c r="B97" s="17">
        <v>1088638</v>
      </c>
      <c r="C97" s="1">
        <v>46026</v>
      </c>
      <c r="D97">
        <v>1</v>
      </c>
    </row>
    <row r="98" spans="1:4" x14ac:dyDescent="0.25">
      <c r="A98">
        <v>100045</v>
      </c>
      <c r="B98" s="17">
        <v>1711217</v>
      </c>
      <c r="C98" s="1">
        <v>46026</v>
      </c>
      <c r="D98">
        <v>1</v>
      </c>
    </row>
    <row r="99" spans="1:4" x14ac:dyDescent="0.25">
      <c r="A99">
        <v>100046</v>
      </c>
      <c r="B99" s="17">
        <v>1711217</v>
      </c>
      <c r="C99" s="1">
        <v>46026</v>
      </c>
      <c r="D99">
        <v>1</v>
      </c>
    </row>
    <row r="100" spans="1:4" x14ac:dyDescent="0.25">
      <c r="A100">
        <v>100052</v>
      </c>
      <c r="B100" s="17">
        <v>1711217</v>
      </c>
      <c r="C100" s="1">
        <v>46026</v>
      </c>
      <c r="D100">
        <v>1</v>
      </c>
    </row>
    <row r="101" spans="1:4" x14ac:dyDescent="0.25">
      <c r="A101">
        <v>100045</v>
      </c>
      <c r="B101" s="17">
        <v>2732499</v>
      </c>
      <c r="C101" s="1">
        <v>46026</v>
      </c>
      <c r="D101">
        <v>1</v>
      </c>
    </row>
    <row r="102" spans="1:4" x14ac:dyDescent="0.25">
      <c r="A102">
        <v>100049</v>
      </c>
      <c r="B102" s="17">
        <v>2732499</v>
      </c>
      <c r="C102" s="1">
        <v>46026</v>
      </c>
      <c r="D102">
        <v>2</v>
      </c>
    </row>
    <row r="103" spans="1:4" x14ac:dyDescent="0.25">
      <c r="A103">
        <v>100051</v>
      </c>
      <c r="B103" s="17">
        <v>2732499</v>
      </c>
      <c r="C103" s="1">
        <v>46026</v>
      </c>
      <c r="D103">
        <v>3</v>
      </c>
    </row>
    <row r="104" spans="1:4" x14ac:dyDescent="0.25">
      <c r="A104">
        <v>100052</v>
      </c>
      <c r="B104" s="17">
        <v>6334728</v>
      </c>
      <c r="C104" s="1">
        <v>46026</v>
      </c>
      <c r="D104">
        <v>2</v>
      </c>
    </row>
    <row r="105" spans="1:4" x14ac:dyDescent="0.25">
      <c r="A105">
        <v>100048</v>
      </c>
      <c r="B105" s="17">
        <v>6825224</v>
      </c>
      <c r="C105" s="1">
        <v>46026</v>
      </c>
      <c r="D105">
        <v>1</v>
      </c>
    </row>
    <row r="106" spans="1:4" x14ac:dyDescent="0.25">
      <c r="A106">
        <v>100046</v>
      </c>
      <c r="B106" s="17">
        <v>7023463</v>
      </c>
      <c r="C106" s="1">
        <v>46026</v>
      </c>
      <c r="D106">
        <v>1</v>
      </c>
    </row>
    <row r="107" spans="1:4" x14ac:dyDescent="0.25">
      <c r="A107">
        <v>100051</v>
      </c>
      <c r="B107" s="17">
        <v>7023463</v>
      </c>
      <c r="C107" s="1">
        <v>46026</v>
      </c>
      <c r="D107">
        <v>2</v>
      </c>
    </row>
    <row r="108" spans="1:4" x14ac:dyDescent="0.25">
      <c r="A108">
        <v>100050</v>
      </c>
      <c r="B108" s="17">
        <v>7165581</v>
      </c>
      <c r="C108" s="1">
        <v>46026</v>
      </c>
      <c r="D108">
        <v>1</v>
      </c>
    </row>
    <row r="109" spans="1:4" x14ac:dyDescent="0.25">
      <c r="A109">
        <v>100047</v>
      </c>
      <c r="B109" s="17">
        <v>8306905</v>
      </c>
      <c r="C109" s="1">
        <v>46026</v>
      </c>
      <c r="D109">
        <v>1</v>
      </c>
    </row>
    <row r="110" spans="1:4" x14ac:dyDescent="0.25">
      <c r="A110">
        <v>100044</v>
      </c>
      <c r="B110" s="17">
        <v>8405468</v>
      </c>
      <c r="C110" s="1">
        <v>46026</v>
      </c>
      <c r="D110">
        <v>1</v>
      </c>
    </row>
    <row r="111" spans="1:4" x14ac:dyDescent="0.25">
      <c r="A111">
        <v>100048</v>
      </c>
      <c r="B111" s="17">
        <v>8405468</v>
      </c>
      <c r="C111" s="1">
        <v>46026</v>
      </c>
      <c r="D111">
        <v>0</v>
      </c>
    </row>
    <row r="112" spans="1:4" x14ac:dyDescent="0.25">
      <c r="A112">
        <v>100049</v>
      </c>
      <c r="B112" s="17">
        <v>8405468</v>
      </c>
      <c r="C112" s="1">
        <v>46026</v>
      </c>
      <c r="D112">
        <v>0</v>
      </c>
    </row>
    <row r="113" spans="1:4" x14ac:dyDescent="0.25">
      <c r="A113">
        <v>100052</v>
      </c>
      <c r="B113" s="17">
        <v>8405468</v>
      </c>
      <c r="C113" s="1">
        <v>46026</v>
      </c>
      <c r="D113">
        <v>0</v>
      </c>
    </row>
    <row r="114" spans="1:4" x14ac:dyDescent="0.25">
      <c r="A114">
        <v>100044</v>
      </c>
      <c r="B114" s="17">
        <v>9292315</v>
      </c>
      <c r="C114" s="1">
        <v>46026</v>
      </c>
      <c r="D114">
        <v>1</v>
      </c>
    </row>
    <row r="115" spans="1:4" x14ac:dyDescent="0.25">
      <c r="A115">
        <v>100050</v>
      </c>
      <c r="B115" s="17">
        <v>9292315</v>
      </c>
      <c r="C115" s="1">
        <v>46026</v>
      </c>
      <c r="D115">
        <v>3</v>
      </c>
    </row>
    <row r="116" spans="1:4" x14ac:dyDescent="0.25">
      <c r="A116">
        <v>100052</v>
      </c>
      <c r="B116" s="17">
        <v>9292315</v>
      </c>
      <c r="C116" s="1">
        <v>46026</v>
      </c>
      <c r="D116">
        <v>1</v>
      </c>
    </row>
    <row r="117" spans="1:4" x14ac:dyDescent="0.25">
      <c r="A117">
        <v>100055</v>
      </c>
      <c r="B117" s="17">
        <v>1088638</v>
      </c>
      <c r="C117" s="1">
        <v>46027</v>
      </c>
      <c r="D117">
        <v>1</v>
      </c>
    </row>
    <row r="118" spans="1:4" x14ac:dyDescent="0.25">
      <c r="A118">
        <v>100057</v>
      </c>
      <c r="B118" s="17">
        <v>1088638</v>
      </c>
      <c r="C118" s="1">
        <v>46027</v>
      </c>
      <c r="D118">
        <v>1</v>
      </c>
    </row>
    <row r="119" spans="1:4" x14ac:dyDescent="0.25">
      <c r="A119">
        <v>100059</v>
      </c>
      <c r="B119" s="17">
        <v>1088638</v>
      </c>
      <c r="C119" s="1">
        <v>46027</v>
      </c>
      <c r="D119">
        <v>1</v>
      </c>
    </row>
    <row r="120" spans="1:4" x14ac:dyDescent="0.25">
      <c r="A120">
        <v>100054</v>
      </c>
      <c r="B120" s="17">
        <v>1253167</v>
      </c>
      <c r="C120" s="1">
        <v>46027</v>
      </c>
      <c r="D120">
        <v>1</v>
      </c>
    </row>
    <row r="121" spans="1:4" x14ac:dyDescent="0.25">
      <c r="A121">
        <v>100058</v>
      </c>
      <c r="B121" s="17">
        <v>1253167</v>
      </c>
      <c r="C121" s="1">
        <v>46027</v>
      </c>
      <c r="D121">
        <v>1</v>
      </c>
    </row>
    <row r="122" spans="1:4" x14ac:dyDescent="0.25">
      <c r="A122">
        <v>100061</v>
      </c>
      <c r="B122" s="17">
        <v>1253167</v>
      </c>
      <c r="C122" s="1">
        <v>46027</v>
      </c>
      <c r="D122">
        <v>3</v>
      </c>
    </row>
    <row r="123" spans="1:4" x14ac:dyDescent="0.25">
      <c r="A123">
        <v>100053</v>
      </c>
      <c r="B123" s="17">
        <v>1711217</v>
      </c>
      <c r="C123" s="1">
        <v>46027</v>
      </c>
      <c r="D123">
        <v>1</v>
      </c>
    </row>
    <row r="124" spans="1:4" x14ac:dyDescent="0.25">
      <c r="A124">
        <v>100059</v>
      </c>
      <c r="B124" s="17">
        <v>1711217</v>
      </c>
      <c r="C124" s="1">
        <v>46027</v>
      </c>
      <c r="D124">
        <v>1</v>
      </c>
    </row>
    <row r="125" spans="1:4" x14ac:dyDescent="0.25">
      <c r="A125">
        <v>100059</v>
      </c>
      <c r="B125" s="17">
        <v>2732499</v>
      </c>
      <c r="C125" s="1">
        <v>46027</v>
      </c>
      <c r="D125">
        <v>1</v>
      </c>
    </row>
    <row r="126" spans="1:4" x14ac:dyDescent="0.25">
      <c r="A126">
        <v>100056</v>
      </c>
      <c r="B126" s="17">
        <v>3894456</v>
      </c>
      <c r="C126" s="1">
        <v>46027</v>
      </c>
      <c r="D126">
        <v>1</v>
      </c>
    </row>
    <row r="127" spans="1:4" x14ac:dyDescent="0.25">
      <c r="A127">
        <v>100058</v>
      </c>
      <c r="B127" s="17">
        <v>3894456</v>
      </c>
      <c r="C127" s="1">
        <v>46027</v>
      </c>
      <c r="D127">
        <v>1</v>
      </c>
    </row>
    <row r="128" spans="1:4" x14ac:dyDescent="0.25">
      <c r="A128">
        <v>100060</v>
      </c>
      <c r="B128" s="17">
        <v>3894456</v>
      </c>
      <c r="C128" s="1">
        <v>46027</v>
      </c>
      <c r="D128">
        <v>1</v>
      </c>
    </row>
    <row r="129" spans="1:4" x14ac:dyDescent="0.25">
      <c r="A129">
        <v>100059</v>
      </c>
      <c r="B129" s="17">
        <v>5619128</v>
      </c>
      <c r="C129" s="1">
        <v>46027</v>
      </c>
      <c r="D129">
        <v>1</v>
      </c>
    </row>
    <row r="130" spans="1:4" x14ac:dyDescent="0.25">
      <c r="A130">
        <v>100058</v>
      </c>
      <c r="B130" s="17">
        <v>6334728</v>
      </c>
      <c r="C130" s="1">
        <v>46027</v>
      </c>
      <c r="D130">
        <v>1</v>
      </c>
    </row>
    <row r="131" spans="1:4" x14ac:dyDescent="0.25">
      <c r="A131">
        <v>100061</v>
      </c>
      <c r="B131" s="17">
        <v>6334728</v>
      </c>
      <c r="C131" s="1">
        <v>46027</v>
      </c>
      <c r="D131">
        <v>1</v>
      </c>
    </row>
    <row r="132" spans="1:4" x14ac:dyDescent="0.25">
      <c r="A132">
        <v>100060</v>
      </c>
      <c r="B132" s="17">
        <v>7023463</v>
      </c>
      <c r="C132" s="1">
        <v>46027</v>
      </c>
      <c r="D132">
        <v>1</v>
      </c>
    </row>
    <row r="133" spans="1:4" x14ac:dyDescent="0.25">
      <c r="A133">
        <v>100057</v>
      </c>
      <c r="B133" s="17">
        <v>7165581</v>
      </c>
      <c r="C133" s="1">
        <v>46027</v>
      </c>
      <c r="D133">
        <v>1</v>
      </c>
    </row>
    <row r="134" spans="1:4" x14ac:dyDescent="0.25">
      <c r="A134">
        <v>100056</v>
      </c>
      <c r="B134" s="17">
        <v>7747619</v>
      </c>
      <c r="C134" s="1">
        <v>46027</v>
      </c>
      <c r="D134">
        <v>1</v>
      </c>
    </row>
    <row r="135" spans="1:4" x14ac:dyDescent="0.25">
      <c r="A135">
        <v>100060</v>
      </c>
      <c r="B135" s="17">
        <v>7747619</v>
      </c>
      <c r="C135" s="1">
        <v>46027</v>
      </c>
      <c r="D135">
        <v>1</v>
      </c>
    </row>
    <row r="136" spans="1:4" x14ac:dyDescent="0.25">
      <c r="A136">
        <v>100055</v>
      </c>
      <c r="B136" s="17">
        <v>7944400</v>
      </c>
      <c r="C136" s="1">
        <v>46027</v>
      </c>
      <c r="D136">
        <v>1</v>
      </c>
    </row>
    <row r="137" spans="1:4" x14ac:dyDescent="0.25">
      <c r="A137">
        <v>100060</v>
      </c>
      <c r="B137" s="17">
        <v>7944400</v>
      </c>
      <c r="C137" s="1">
        <v>46027</v>
      </c>
      <c r="D137">
        <v>1</v>
      </c>
    </row>
    <row r="138" spans="1:4" x14ac:dyDescent="0.25">
      <c r="A138">
        <v>100061</v>
      </c>
      <c r="B138" s="17">
        <v>7944400</v>
      </c>
      <c r="C138" s="1">
        <v>46027</v>
      </c>
      <c r="D138">
        <v>1</v>
      </c>
    </row>
    <row r="139" spans="1:4" x14ac:dyDescent="0.25">
      <c r="A139">
        <v>100062</v>
      </c>
      <c r="B139" s="17">
        <v>1088638</v>
      </c>
      <c r="C139" s="1">
        <v>46028</v>
      </c>
      <c r="D139">
        <v>1</v>
      </c>
    </row>
    <row r="140" spans="1:4" x14ac:dyDescent="0.25">
      <c r="A140">
        <v>100072</v>
      </c>
      <c r="B140" s="17">
        <v>1253167</v>
      </c>
      <c r="C140" s="1">
        <v>46028</v>
      </c>
      <c r="D140">
        <v>3</v>
      </c>
    </row>
    <row r="141" spans="1:4" x14ac:dyDescent="0.25">
      <c r="A141">
        <v>100068</v>
      </c>
      <c r="B141" s="17">
        <v>1331817</v>
      </c>
      <c r="C141" s="1">
        <v>46028</v>
      </c>
      <c r="D141">
        <v>1</v>
      </c>
    </row>
    <row r="142" spans="1:4" x14ac:dyDescent="0.25">
      <c r="A142">
        <v>100069</v>
      </c>
      <c r="B142" s="17">
        <v>1331817</v>
      </c>
      <c r="C142" s="1">
        <v>46028</v>
      </c>
      <c r="D142">
        <v>1</v>
      </c>
    </row>
    <row r="143" spans="1:4" x14ac:dyDescent="0.25">
      <c r="A143">
        <v>100071</v>
      </c>
      <c r="B143" s="17">
        <v>1331817</v>
      </c>
      <c r="C143" s="1">
        <v>46028</v>
      </c>
      <c r="D143">
        <v>1</v>
      </c>
    </row>
    <row r="144" spans="1:4" x14ac:dyDescent="0.25">
      <c r="A144">
        <v>100066</v>
      </c>
      <c r="B144" s="17">
        <v>1711217</v>
      </c>
      <c r="C144" s="1">
        <v>46028</v>
      </c>
      <c r="D144">
        <v>1</v>
      </c>
    </row>
    <row r="145" spans="1:4" x14ac:dyDescent="0.25">
      <c r="A145">
        <v>100067</v>
      </c>
      <c r="B145" s="17">
        <v>1711217</v>
      </c>
      <c r="C145" s="1">
        <v>46028</v>
      </c>
      <c r="D145">
        <v>1</v>
      </c>
    </row>
    <row r="146" spans="1:4" x14ac:dyDescent="0.25">
      <c r="A146">
        <v>100072</v>
      </c>
      <c r="B146" s="17">
        <v>1711217</v>
      </c>
      <c r="C146" s="1">
        <v>46028</v>
      </c>
      <c r="D146">
        <v>2</v>
      </c>
    </row>
    <row r="147" spans="1:4" x14ac:dyDescent="0.25">
      <c r="A147">
        <v>100070</v>
      </c>
      <c r="B147" s="17">
        <v>2012714</v>
      </c>
      <c r="C147" s="1">
        <v>46028</v>
      </c>
      <c r="D147">
        <v>1</v>
      </c>
    </row>
    <row r="148" spans="1:4" x14ac:dyDescent="0.25">
      <c r="A148">
        <v>100064</v>
      </c>
      <c r="B148" s="17">
        <v>4255235</v>
      </c>
      <c r="C148" s="1">
        <v>46028</v>
      </c>
      <c r="D148">
        <v>1</v>
      </c>
    </row>
    <row r="149" spans="1:4" x14ac:dyDescent="0.25">
      <c r="A149">
        <v>100065</v>
      </c>
      <c r="B149" s="17">
        <v>4255235</v>
      </c>
      <c r="C149" s="1">
        <v>46028</v>
      </c>
      <c r="D149">
        <v>1</v>
      </c>
    </row>
    <row r="150" spans="1:4" x14ac:dyDescent="0.25">
      <c r="A150">
        <v>100067</v>
      </c>
      <c r="B150" s="17">
        <v>5619128</v>
      </c>
      <c r="C150" s="1">
        <v>46028</v>
      </c>
      <c r="D150">
        <v>1</v>
      </c>
    </row>
    <row r="151" spans="1:4" x14ac:dyDescent="0.25">
      <c r="A151">
        <v>100069</v>
      </c>
      <c r="B151" s="17">
        <v>5619128</v>
      </c>
      <c r="C151" s="1">
        <v>46028</v>
      </c>
      <c r="D151">
        <v>1</v>
      </c>
    </row>
    <row r="152" spans="1:4" x14ac:dyDescent="0.25">
      <c r="A152">
        <v>100069</v>
      </c>
      <c r="B152" s="17">
        <v>6825224</v>
      </c>
      <c r="C152" s="1">
        <v>46028</v>
      </c>
      <c r="D152">
        <v>1</v>
      </c>
    </row>
    <row r="153" spans="1:4" x14ac:dyDescent="0.25">
      <c r="A153">
        <v>100063</v>
      </c>
      <c r="B153" s="17">
        <v>6828260</v>
      </c>
      <c r="C153" s="1">
        <v>46028</v>
      </c>
      <c r="D153">
        <v>1</v>
      </c>
    </row>
    <row r="154" spans="1:4" x14ac:dyDescent="0.25">
      <c r="A154">
        <v>100070</v>
      </c>
      <c r="B154" s="17">
        <v>7747619</v>
      </c>
      <c r="C154" s="1">
        <v>46028</v>
      </c>
      <c r="D154">
        <v>2</v>
      </c>
    </row>
    <row r="155" spans="1:4" x14ac:dyDescent="0.25">
      <c r="A155">
        <v>100066</v>
      </c>
      <c r="B155" s="17">
        <v>8405468</v>
      </c>
      <c r="C155" s="1">
        <v>46028</v>
      </c>
      <c r="D155">
        <v>0</v>
      </c>
    </row>
    <row r="156" spans="1:4" x14ac:dyDescent="0.25">
      <c r="A156">
        <v>100071</v>
      </c>
      <c r="B156" s="17">
        <v>8405468</v>
      </c>
      <c r="C156" s="1">
        <v>46028</v>
      </c>
      <c r="D156">
        <v>0</v>
      </c>
    </row>
    <row r="157" spans="1:4" x14ac:dyDescent="0.25">
      <c r="A157">
        <v>100065</v>
      </c>
      <c r="B157" s="17">
        <v>9292315</v>
      </c>
      <c r="C157" s="1">
        <v>46028</v>
      </c>
      <c r="D157">
        <v>1</v>
      </c>
    </row>
    <row r="158" spans="1:4" x14ac:dyDescent="0.25">
      <c r="A158">
        <v>100068</v>
      </c>
      <c r="B158" s="17">
        <v>9292315</v>
      </c>
      <c r="C158" s="1">
        <v>46028</v>
      </c>
      <c r="D158">
        <v>1</v>
      </c>
    </row>
    <row r="159" spans="1:4" x14ac:dyDescent="0.25">
      <c r="A159">
        <v>100070</v>
      </c>
      <c r="B159" s="17">
        <v>9292315</v>
      </c>
      <c r="C159" s="1">
        <v>46028</v>
      </c>
      <c r="D159">
        <v>1</v>
      </c>
    </row>
    <row r="160" spans="1:4" x14ac:dyDescent="0.25">
      <c r="A160">
        <v>100071</v>
      </c>
      <c r="B160" s="17">
        <v>9292315</v>
      </c>
      <c r="C160" s="1">
        <v>46028</v>
      </c>
      <c r="D160">
        <v>2</v>
      </c>
    </row>
    <row r="161" spans="1:4" x14ac:dyDescent="0.25">
      <c r="A161">
        <v>100072</v>
      </c>
      <c r="B161" s="17">
        <v>9292315</v>
      </c>
      <c r="C161" s="1">
        <v>46028</v>
      </c>
      <c r="D161">
        <v>1</v>
      </c>
    </row>
    <row r="162" spans="1:4" x14ac:dyDescent="0.25">
      <c r="A162">
        <v>100073</v>
      </c>
      <c r="B162" s="17">
        <v>1088638</v>
      </c>
      <c r="C162" s="1">
        <v>46029</v>
      </c>
      <c r="D162">
        <v>1</v>
      </c>
    </row>
    <row r="163" spans="1:4" x14ac:dyDescent="0.25">
      <c r="A163">
        <v>100074</v>
      </c>
      <c r="B163" s="17">
        <v>1088638</v>
      </c>
      <c r="C163" s="1">
        <v>46029</v>
      </c>
      <c r="D163">
        <v>1</v>
      </c>
    </row>
    <row r="164" spans="1:4" x14ac:dyDescent="0.25">
      <c r="A164">
        <v>100075</v>
      </c>
      <c r="B164" s="17">
        <v>1088638</v>
      </c>
      <c r="C164" s="1">
        <v>46029</v>
      </c>
      <c r="D164">
        <v>3</v>
      </c>
    </row>
    <row r="165" spans="1:4" x14ac:dyDescent="0.25">
      <c r="A165">
        <v>100077</v>
      </c>
      <c r="B165" s="17">
        <v>1711217</v>
      </c>
      <c r="C165" s="1">
        <v>46029</v>
      </c>
      <c r="D165">
        <v>1</v>
      </c>
    </row>
    <row r="166" spans="1:4" x14ac:dyDescent="0.25">
      <c r="A166">
        <v>100077</v>
      </c>
      <c r="B166" s="17">
        <v>6334728</v>
      </c>
      <c r="C166" s="1">
        <v>46029</v>
      </c>
      <c r="D166">
        <v>3</v>
      </c>
    </row>
    <row r="167" spans="1:4" x14ac:dyDescent="0.25">
      <c r="A167">
        <v>100073</v>
      </c>
      <c r="B167" s="17">
        <v>7023463</v>
      </c>
      <c r="C167" s="1">
        <v>46029</v>
      </c>
      <c r="D167">
        <v>1</v>
      </c>
    </row>
    <row r="168" spans="1:4" x14ac:dyDescent="0.25">
      <c r="A168">
        <v>100074</v>
      </c>
      <c r="B168" s="17">
        <v>7023463</v>
      </c>
      <c r="C168" s="1">
        <v>46029</v>
      </c>
      <c r="D168">
        <v>1</v>
      </c>
    </row>
    <row r="169" spans="1:4" x14ac:dyDescent="0.25">
      <c r="A169">
        <v>100076</v>
      </c>
      <c r="B169" s="17">
        <v>7165581</v>
      </c>
      <c r="C169" s="1">
        <v>46029</v>
      </c>
      <c r="D169">
        <v>1</v>
      </c>
    </row>
    <row r="170" spans="1:4" x14ac:dyDescent="0.25">
      <c r="A170">
        <v>100075</v>
      </c>
      <c r="B170" s="17">
        <v>8405468</v>
      </c>
      <c r="C170" s="1">
        <v>46029</v>
      </c>
      <c r="D170">
        <v>0</v>
      </c>
    </row>
    <row r="171" spans="1:4" x14ac:dyDescent="0.25">
      <c r="A171">
        <v>100076</v>
      </c>
      <c r="B171" s="17">
        <v>8405468</v>
      </c>
      <c r="C171" s="1">
        <v>46029</v>
      </c>
      <c r="D171">
        <v>0</v>
      </c>
    </row>
    <row r="172" spans="1:4" x14ac:dyDescent="0.25">
      <c r="A172">
        <v>100077</v>
      </c>
      <c r="B172" s="17">
        <v>8860153</v>
      </c>
      <c r="C172" s="1">
        <v>46029</v>
      </c>
      <c r="D172">
        <v>1</v>
      </c>
    </row>
    <row r="173" spans="1:4" x14ac:dyDescent="0.25">
      <c r="A173">
        <v>100074</v>
      </c>
      <c r="B173" s="17">
        <v>9292315</v>
      </c>
      <c r="C173" s="1">
        <v>46029</v>
      </c>
      <c r="D173">
        <v>1</v>
      </c>
    </row>
    <row r="174" spans="1:4" x14ac:dyDescent="0.25">
      <c r="A174">
        <v>100076</v>
      </c>
      <c r="B174" s="17">
        <v>9292315</v>
      </c>
      <c r="C174" s="1">
        <v>46029</v>
      </c>
      <c r="D174">
        <v>2</v>
      </c>
    </row>
    <row r="175" spans="1:4" x14ac:dyDescent="0.25">
      <c r="A175">
        <v>100077</v>
      </c>
      <c r="B175" s="17">
        <v>9292315</v>
      </c>
      <c r="C175" s="1">
        <v>46029</v>
      </c>
      <c r="D175">
        <v>1</v>
      </c>
    </row>
    <row r="176" spans="1:4" x14ac:dyDescent="0.25">
      <c r="A176">
        <v>100079</v>
      </c>
      <c r="B176" s="17">
        <v>1088638</v>
      </c>
      <c r="C176" s="1">
        <v>46030</v>
      </c>
      <c r="D176">
        <v>1</v>
      </c>
    </row>
    <row r="177" spans="1:4" x14ac:dyDescent="0.25">
      <c r="A177">
        <v>100080</v>
      </c>
      <c r="B177" s="17">
        <v>1088638</v>
      </c>
      <c r="C177" s="1">
        <v>46030</v>
      </c>
      <c r="D177">
        <v>1</v>
      </c>
    </row>
    <row r="178" spans="1:4" x14ac:dyDescent="0.25">
      <c r="A178">
        <v>100082</v>
      </c>
      <c r="B178" s="17">
        <v>1253167</v>
      </c>
      <c r="C178" s="1">
        <v>46030</v>
      </c>
      <c r="D178">
        <v>1</v>
      </c>
    </row>
    <row r="179" spans="1:4" x14ac:dyDescent="0.25">
      <c r="A179">
        <v>100085</v>
      </c>
      <c r="B179" s="17">
        <v>1253167</v>
      </c>
      <c r="C179" s="1">
        <v>46030</v>
      </c>
      <c r="D179">
        <v>2</v>
      </c>
    </row>
    <row r="180" spans="1:4" x14ac:dyDescent="0.25">
      <c r="A180">
        <v>100080</v>
      </c>
      <c r="B180" s="17">
        <v>1711217</v>
      </c>
      <c r="C180" s="1">
        <v>46030</v>
      </c>
      <c r="D180">
        <v>1</v>
      </c>
    </row>
    <row r="181" spans="1:4" x14ac:dyDescent="0.25">
      <c r="A181">
        <v>100081</v>
      </c>
      <c r="B181" s="17">
        <v>1711217</v>
      </c>
      <c r="C181" s="1">
        <v>46030</v>
      </c>
      <c r="D181">
        <v>1</v>
      </c>
    </row>
    <row r="182" spans="1:4" x14ac:dyDescent="0.25">
      <c r="A182">
        <v>100086</v>
      </c>
      <c r="B182" s="17">
        <v>1711217</v>
      </c>
      <c r="C182" s="1">
        <v>46030</v>
      </c>
      <c r="D182">
        <v>1</v>
      </c>
    </row>
    <row r="183" spans="1:4" x14ac:dyDescent="0.25">
      <c r="A183">
        <v>100082</v>
      </c>
      <c r="B183" s="17">
        <v>2012714</v>
      </c>
      <c r="C183" s="1">
        <v>46030</v>
      </c>
      <c r="D183">
        <v>1</v>
      </c>
    </row>
    <row r="184" spans="1:4" x14ac:dyDescent="0.25">
      <c r="A184">
        <v>100081</v>
      </c>
      <c r="B184" s="17">
        <v>2732499</v>
      </c>
      <c r="C184" s="1">
        <v>46030</v>
      </c>
      <c r="D184">
        <v>2</v>
      </c>
    </row>
    <row r="185" spans="1:4" x14ac:dyDescent="0.25">
      <c r="A185">
        <v>100083</v>
      </c>
      <c r="B185" s="17">
        <v>2732499</v>
      </c>
      <c r="C185" s="1">
        <v>46030</v>
      </c>
      <c r="D185">
        <v>1</v>
      </c>
    </row>
    <row r="186" spans="1:4" x14ac:dyDescent="0.25">
      <c r="A186">
        <v>100086</v>
      </c>
      <c r="B186" s="17">
        <v>2732499</v>
      </c>
      <c r="C186" s="1">
        <v>46030</v>
      </c>
      <c r="D186">
        <v>2</v>
      </c>
    </row>
    <row r="187" spans="1:4" x14ac:dyDescent="0.25">
      <c r="A187">
        <v>100082</v>
      </c>
      <c r="B187" s="17">
        <v>3894456</v>
      </c>
      <c r="C187" s="1">
        <v>46030</v>
      </c>
      <c r="D187">
        <v>1</v>
      </c>
    </row>
    <row r="188" spans="1:4" x14ac:dyDescent="0.25">
      <c r="A188">
        <v>100085</v>
      </c>
      <c r="B188" s="17">
        <v>3894456</v>
      </c>
      <c r="C188" s="1">
        <v>46030</v>
      </c>
      <c r="D188">
        <v>1</v>
      </c>
    </row>
    <row r="189" spans="1:4" x14ac:dyDescent="0.25">
      <c r="A189">
        <v>100078</v>
      </c>
      <c r="B189" s="17">
        <v>5619128</v>
      </c>
      <c r="C189" s="1">
        <v>46030</v>
      </c>
      <c r="D189">
        <v>1</v>
      </c>
    </row>
    <row r="190" spans="1:4" x14ac:dyDescent="0.25">
      <c r="A190">
        <v>100079</v>
      </c>
      <c r="B190" s="17">
        <v>6334728</v>
      </c>
      <c r="C190" s="1">
        <v>46030</v>
      </c>
      <c r="D190">
        <v>1</v>
      </c>
    </row>
    <row r="191" spans="1:4" x14ac:dyDescent="0.25">
      <c r="A191">
        <v>100085</v>
      </c>
      <c r="B191" s="17">
        <v>6334728</v>
      </c>
      <c r="C191" s="1">
        <v>46030</v>
      </c>
      <c r="D191">
        <v>1</v>
      </c>
    </row>
    <row r="192" spans="1:4" x14ac:dyDescent="0.25">
      <c r="A192">
        <v>100086</v>
      </c>
      <c r="B192" s="17">
        <v>6334728</v>
      </c>
      <c r="C192" s="1">
        <v>46030</v>
      </c>
      <c r="D192">
        <v>1</v>
      </c>
    </row>
    <row r="193" spans="1:4" x14ac:dyDescent="0.25">
      <c r="A193">
        <v>100084</v>
      </c>
      <c r="B193" s="17">
        <v>7023463</v>
      </c>
      <c r="C193" s="1">
        <v>46030</v>
      </c>
      <c r="D193">
        <v>1</v>
      </c>
    </row>
    <row r="194" spans="1:4" x14ac:dyDescent="0.25">
      <c r="A194">
        <v>100083</v>
      </c>
      <c r="B194" s="17">
        <v>7165581</v>
      </c>
      <c r="C194" s="1">
        <v>46030</v>
      </c>
      <c r="D194">
        <v>1</v>
      </c>
    </row>
    <row r="195" spans="1:4" x14ac:dyDescent="0.25">
      <c r="A195">
        <v>100084</v>
      </c>
      <c r="B195" s="17">
        <v>7165581</v>
      </c>
      <c r="C195" s="1">
        <v>46030</v>
      </c>
      <c r="D195">
        <v>1</v>
      </c>
    </row>
    <row r="196" spans="1:4" x14ac:dyDescent="0.25">
      <c r="A196">
        <v>100086</v>
      </c>
      <c r="B196" s="17">
        <v>7165581</v>
      </c>
      <c r="C196" s="1">
        <v>46030</v>
      </c>
      <c r="D196">
        <v>1</v>
      </c>
    </row>
    <row r="197" spans="1:4" x14ac:dyDescent="0.25">
      <c r="A197">
        <v>100085</v>
      </c>
      <c r="B197" s="17">
        <v>8405468</v>
      </c>
      <c r="C197" s="1">
        <v>46030</v>
      </c>
      <c r="D197">
        <v>0</v>
      </c>
    </row>
    <row r="198" spans="1:4" x14ac:dyDescent="0.25">
      <c r="A198">
        <v>100078</v>
      </c>
      <c r="B198" s="17">
        <v>9292315</v>
      </c>
      <c r="C198" s="1">
        <v>46030</v>
      </c>
      <c r="D198">
        <v>1</v>
      </c>
    </row>
    <row r="199" spans="1:4" x14ac:dyDescent="0.25">
      <c r="A199">
        <v>100083</v>
      </c>
      <c r="B199" s="17">
        <v>9292315</v>
      </c>
      <c r="C199" s="1">
        <v>46030</v>
      </c>
      <c r="D199">
        <v>1</v>
      </c>
    </row>
    <row r="200" spans="1:4" x14ac:dyDescent="0.25">
      <c r="A200">
        <v>100084</v>
      </c>
      <c r="B200" s="17">
        <v>9292315</v>
      </c>
      <c r="C200" s="1">
        <v>46030</v>
      </c>
      <c r="D200">
        <v>1</v>
      </c>
    </row>
    <row r="201" spans="1:4" x14ac:dyDescent="0.25">
      <c r="A201">
        <v>100089</v>
      </c>
      <c r="B201" s="17">
        <v>1253167</v>
      </c>
      <c r="C201" s="1">
        <v>46031</v>
      </c>
      <c r="D201">
        <v>1</v>
      </c>
    </row>
    <row r="202" spans="1:4" x14ac:dyDescent="0.25">
      <c r="A202">
        <v>100091</v>
      </c>
      <c r="B202" s="17">
        <v>1253167</v>
      </c>
      <c r="C202" s="1">
        <v>46031</v>
      </c>
      <c r="D202">
        <v>1</v>
      </c>
    </row>
    <row r="203" spans="1:4" x14ac:dyDescent="0.25">
      <c r="A203">
        <v>100093</v>
      </c>
      <c r="B203" s="17">
        <v>1253167</v>
      </c>
      <c r="C203" s="1">
        <v>46031</v>
      </c>
      <c r="D203">
        <v>1</v>
      </c>
    </row>
    <row r="204" spans="1:4" x14ac:dyDescent="0.25">
      <c r="A204">
        <v>100096</v>
      </c>
      <c r="B204" s="17">
        <v>1253167</v>
      </c>
      <c r="C204" s="1">
        <v>46031</v>
      </c>
      <c r="D204">
        <v>1</v>
      </c>
    </row>
    <row r="205" spans="1:4" x14ac:dyDescent="0.25">
      <c r="A205">
        <v>100090</v>
      </c>
      <c r="B205" s="17">
        <v>1711217</v>
      </c>
      <c r="C205" s="1">
        <v>46031</v>
      </c>
      <c r="D205">
        <v>1</v>
      </c>
    </row>
    <row r="206" spans="1:4" x14ac:dyDescent="0.25">
      <c r="A206">
        <v>100094</v>
      </c>
      <c r="B206" s="17">
        <v>1711217</v>
      </c>
      <c r="C206" s="1">
        <v>46031</v>
      </c>
      <c r="D206">
        <v>1</v>
      </c>
    </row>
    <row r="207" spans="1:4" x14ac:dyDescent="0.25">
      <c r="A207">
        <v>100095</v>
      </c>
      <c r="B207" s="17">
        <v>1711217</v>
      </c>
      <c r="C207" s="1">
        <v>46031</v>
      </c>
      <c r="D207">
        <v>2</v>
      </c>
    </row>
    <row r="208" spans="1:4" x14ac:dyDescent="0.25">
      <c r="A208">
        <v>100097</v>
      </c>
      <c r="B208" s="17">
        <v>1711217</v>
      </c>
      <c r="C208" s="1">
        <v>46031</v>
      </c>
      <c r="D208">
        <v>1</v>
      </c>
    </row>
    <row r="209" spans="1:4" x14ac:dyDescent="0.25">
      <c r="A209">
        <v>100089</v>
      </c>
      <c r="B209" s="17">
        <v>2732499</v>
      </c>
      <c r="C209" s="1">
        <v>46031</v>
      </c>
      <c r="D209">
        <v>1</v>
      </c>
    </row>
    <row r="210" spans="1:4" x14ac:dyDescent="0.25">
      <c r="A210">
        <v>100092</v>
      </c>
      <c r="B210" s="17">
        <v>2732499</v>
      </c>
      <c r="C210" s="1">
        <v>46031</v>
      </c>
      <c r="D210">
        <v>2</v>
      </c>
    </row>
    <row r="211" spans="1:4" x14ac:dyDescent="0.25">
      <c r="A211">
        <v>100096</v>
      </c>
      <c r="B211" s="17">
        <v>2732499</v>
      </c>
      <c r="C211" s="1">
        <v>46031</v>
      </c>
      <c r="D211">
        <v>1</v>
      </c>
    </row>
    <row r="212" spans="1:4" x14ac:dyDescent="0.25">
      <c r="A212">
        <v>100088</v>
      </c>
      <c r="B212" s="17">
        <v>5619128</v>
      </c>
      <c r="C212" s="1">
        <v>46031</v>
      </c>
      <c r="D212">
        <v>2</v>
      </c>
    </row>
    <row r="213" spans="1:4" x14ac:dyDescent="0.25">
      <c r="A213">
        <v>100094</v>
      </c>
      <c r="B213" s="17">
        <v>5624747</v>
      </c>
      <c r="C213" s="1">
        <v>46031</v>
      </c>
      <c r="D213">
        <v>1</v>
      </c>
    </row>
    <row r="214" spans="1:4" x14ac:dyDescent="0.25">
      <c r="A214">
        <v>100091</v>
      </c>
      <c r="B214" s="17">
        <v>6825224</v>
      </c>
      <c r="C214" s="1">
        <v>46031</v>
      </c>
      <c r="D214">
        <v>1</v>
      </c>
    </row>
    <row r="215" spans="1:4" x14ac:dyDescent="0.25">
      <c r="A215">
        <v>100094</v>
      </c>
      <c r="B215" s="17">
        <v>6825224</v>
      </c>
      <c r="C215" s="1">
        <v>46031</v>
      </c>
      <c r="D215">
        <v>1</v>
      </c>
    </row>
    <row r="216" spans="1:4" x14ac:dyDescent="0.25">
      <c r="A216">
        <v>100092</v>
      </c>
      <c r="B216" s="17">
        <v>7023463</v>
      </c>
      <c r="C216" s="1">
        <v>46031</v>
      </c>
      <c r="D216">
        <v>1</v>
      </c>
    </row>
    <row r="217" spans="1:4" x14ac:dyDescent="0.25">
      <c r="A217">
        <v>100097</v>
      </c>
      <c r="B217" s="17">
        <v>7023463</v>
      </c>
      <c r="C217" s="1">
        <v>46031</v>
      </c>
      <c r="D217">
        <v>4</v>
      </c>
    </row>
    <row r="218" spans="1:4" x14ac:dyDescent="0.25">
      <c r="A218">
        <v>100095</v>
      </c>
      <c r="B218" s="17">
        <v>7165581</v>
      </c>
      <c r="C218" s="1">
        <v>46031</v>
      </c>
      <c r="D218">
        <v>1</v>
      </c>
    </row>
    <row r="219" spans="1:4" x14ac:dyDescent="0.25">
      <c r="A219">
        <v>100096</v>
      </c>
      <c r="B219" s="17">
        <v>7165581</v>
      </c>
      <c r="C219" s="1">
        <v>46031</v>
      </c>
      <c r="D219">
        <v>1</v>
      </c>
    </row>
    <row r="220" spans="1:4" x14ac:dyDescent="0.25">
      <c r="A220">
        <v>100093</v>
      </c>
      <c r="B220" s="17">
        <v>7944400</v>
      </c>
      <c r="C220" s="1">
        <v>46031</v>
      </c>
      <c r="D220">
        <v>2</v>
      </c>
    </row>
    <row r="221" spans="1:4" x14ac:dyDescent="0.25">
      <c r="A221">
        <v>100087</v>
      </c>
      <c r="B221" s="17">
        <v>8405468</v>
      </c>
      <c r="C221" s="1">
        <v>46031</v>
      </c>
      <c r="D221">
        <v>0</v>
      </c>
    </row>
    <row r="222" spans="1:4" x14ac:dyDescent="0.25">
      <c r="A222">
        <v>100090</v>
      </c>
      <c r="B222" s="17">
        <v>8405468</v>
      </c>
      <c r="C222" s="1">
        <v>46031</v>
      </c>
      <c r="D222">
        <v>0</v>
      </c>
    </row>
    <row r="223" spans="1:4" x14ac:dyDescent="0.25">
      <c r="A223">
        <v>100097</v>
      </c>
      <c r="B223" s="17">
        <v>8405468</v>
      </c>
      <c r="C223" s="1">
        <v>46031</v>
      </c>
      <c r="D223">
        <v>0</v>
      </c>
    </row>
    <row r="224" spans="1:4" x14ac:dyDescent="0.25">
      <c r="A224">
        <v>100096</v>
      </c>
      <c r="B224" s="17">
        <v>8551457</v>
      </c>
      <c r="C224" s="1">
        <v>46031</v>
      </c>
      <c r="D224">
        <v>1</v>
      </c>
    </row>
    <row r="225" spans="1:4" x14ac:dyDescent="0.25">
      <c r="A225">
        <v>100095</v>
      </c>
      <c r="B225" s="17">
        <v>9292315</v>
      </c>
      <c r="C225" s="1">
        <v>46031</v>
      </c>
      <c r="D225">
        <v>1</v>
      </c>
    </row>
    <row r="226" spans="1:4" x14ac:dyDescent="0.25">
      <c r="A226">
        <v>100098</v>
      </c>
      <c r="B226" s="17">
        <v>1088638</v>
      </c>
      <c r="C226" s="1">
        <v>46032</v>
      </c>
      <c r="D226">
        <v>1</v>
      </c>
    </row>
    <row r="227" spans="1:4" x14ac:dyDescent="0.25">
      <c r="A227">
        <v>100100</v>
      </c>
      <c r="B227" s="17">
        <v>1088638</v>
      </c>
      <c r="C227" s="1">
        <v>46032</v>
      </c>
      <c r="D227">
        <v>1</v>
      </c>
    </row>
    <row r="228" spans="1:4" x14ac:dyDescent="0.25">
      <c r="A228">
        <v>100099</v>
      </c>
      <c r="B228" s="17">
        <v>1711217</v>
      </c>
      <c r="C228" s="1">
        <v>46032</v>
      </c>
      <c r="D228">
        <v>2</v>
      </c>
    </row>
    <row r="229" spans="1:4" x14ac:dyDescent="0.25">
      <c r="A229">
        <v>100100</v>
      </c>
      <c r="B229" s="17">
        <v>1711217</v>
      </c>
      <c r="C229" s="1">
        <v>46032</v>
      </c>
      <c r="D229">
        <v>3</v>
      </c>
    </row>
    <row r="230" spans="1:4" x14ac:dyDescent="0.25">
      <c r="A230">
        <v>100098</v>
      </c>
      <c r="B230" s="17">
        <v>2732499</v>
      </c>
      <c r="C230" s="1">
        <v>46032</v>
      </c>
      <c r="D230">
        <v>2</v>
      </c>
    </row>
    <row r="231" spans="1:4" x14ac:dyDescent="0.25">
      <c r="A231">
        <v>100100</v>
      </c>
      <c r="B231" s="17">
        <v>8405468</v>
      </c>
      <c r="C231" s="1">
        <v>46032</v>
      </c>
      <c r="D231">
        <v>0</v>
      </c>
    </row>
    <row r="232" spans="1:4" x14ac:dyDescent="0.25">
      <c r="A232">
        <v>100099</v>
      </c>
      <c r="B232" s="17">
        <v>9292315</v>
      </c>
      <c r="C232" s="1">
        <v>46032</v>
      </c>
      <c r="D232">
        <v>2</v>
      </c>
    </row>
    <row r="233" spans="1:4" x14ac:dyDescent="0.25">
      <c r="A233">
        <v>100100</v>
      </c>
      <c r="B233" s="17">
        <v>9292315</v>
      </c>
      <c r="C233" s="1">
        <v>46032</v>
      </c>
      <c r="D233">
        <v>1</v>
      </c>
    </row>
    <row r="234" spans="1:4" x14ac:dyDescent="0.25">
      <c r="A234">
        <v>100110</v>
      </c>
      <c r="B234" s="17">
        <v>1088638</v>
      </c>
      <c r="C234" s="1">
        <v>46033</v>
      </c>
      <c r="D234">
        <v>1</v>
      </c>
    </row>
    <row r="235" spans="1:4" x14ac:dyDescent="0.25">
      <c r="A235">
        <v>100111</v>
      </c>
      <c r="B235" s="17">
        <v>1088638</v>
      </c>
      <c r="C235" s="1">
        <v>46033</v>
      </c>
      <c r="D235">
        <v>1</v>
      </c>
    </row>
    <row r="236" spans="1:4" x14ac:dyDescent="0.25">
      <c r="A236">
        <v>100106</v>
      </c>
      <c r="B236" s="17">
        <v>1253167</v>
      </c>
      <c r="C236" s="1">
        <v>46033</v>
      </c>
      <c r="D236">
        <v>1</v>
      </c>
    </row>
    <row r="237" spans="1:4" x14ac:dyDescent="0.25">
      <c r="A237">
        <v>100107</v>
      </c>
      <c r="B237" s="17">
        <v>1253167</v>
      </c>
      <c r="C237" s="1">
        <v>46033</v>
      </c>
      <c r="D237">
        <v>1</v>
      </c>
    </row>
    <row r="238" spans="1:4" x14ac:dyDescent="0.25">
      <c r="A238">
        <v>100104</v>
      </c>
      <c r="B238" s="17">
        <v>1711217</v>
      </c>
      <c r="C238" s="1">
        <v>46033</v>
      </c>
      <c r="D238">
        <v>1</v>
      </c>
    </row>
    <row r="239" spans="1:4" x14ac:dyDescent="0.25">
      <c r="A239">
        <v>100108</v>
      </c>
      <c r="B239" s="17">
        <v>1711217</v>
      </c>
      <c r="C239" s="1">
        <v>46033</v>
      </c>
      <c r="D239">
        <v>1</v>
      </c>
    </row>
    <row r="240" spans="1:4" x14ac:dyDescent="0.25">
      <c r="A240">
        <v>100102</v>
      </c>
      <c r="B240" s="17">
        <v>3894456</v>
      </c>
      <c r="C240" s="1">
        <v>46033</v>
      </c>
      <c r="D240">
        <v>1</v>
      </c>
    </row>
    <row r="241" spans="1:4" x14ac:dyDescent="0.25">
      <c r="A241">
        <v>100110</v>
      </c>
      <c r="B241" s="17">
        <v>3894456</v>
      </c>
      <c r="C241" s="1">
        <v>46033</v>
      </c>
      <c r="D241">
        <v>1</v>
      </c>
    </row>
    <row r="242" spans="1:4" x14ac:dyDescent="0.25">
      <c r="A242">
        <v>100111</v>
      </c>
      <c r="B242" s="17">
        <v>3894456</v>
      </c>
      <c r="C242" s="1">
        <v>46033</v>
      </c>
      <c r="D242">
        <v>1</v>
      </c>
    </row>
    <row r="243" spans="1:4" x14ac:dyDescent="0.25">
      <c r="A243">
        <v>100109</v>
      </c>
      <c r="B243" s="17">
        <v>6334728</v>
      </c>
      <c r="C243" s="1">
        <v>46033</v>
      </c>
      <c r="D243">
        <v>2</v>
      </c>
    </row>
    <row r="244" spans="1:4" x14ac:dyDescent="0.25">
      <c r="A244">
        <v>100110</v>
      </c>
      <c r="B244" s="17">
        <v>6334728</v>
      </c>
      <c r="C244" s="1">
        <v>46033</v>
      </c>
      <c r="D244">
        <v>1</v>
      </c>
    </row>
    <row r="245" spans="1:4" x14ac:dyDescent="0.25">
      <c r="A245">
        <v>100105</v>
      </c>
      <c r="B245" s="17">
        <v>6828260</v>
      </c>
      <c r="C245" s="1">
        <v>46033</v>
      </c>
      <c r="D245">
        <v>1</v>
      </c>
    </row>
    <row r="246" spans="1:4" x14ac:dyDescent="0.25">
      <c r="A246">
        <v>100108</v>
      </c>
      <c r="B246" s="17">
        <v>6828260</v>
      </c>
      <c r="C246" s="1">
        <v>46033</v>
      </c>
      <c r="D246">
        <v>1</v>
      </c>
    </row>
    <row r="247" spans="1:4" x14ac:dyDescent="0.25">
      <c r="A247">
        <v>100104</v>
      </c>
      <c r="B247" s="17">
        <v>7023463</v>
      </c>
      <c r="C247" s="1">
        <v>46033</v>
      </c>
      <c r="D247">
        <v>1</v>
      </c>
    </row>
    <row r="248" spans="1:4" x14ac:dyDescent="0.25">
      <c r="A248">
        <v>100109</v>
      </c>
      <c r="B248" s="17">
        <v>7023463</v>
      </c>
      <c r="C248" s="1">
        <v>46033</v>
      </c>
      <c r="D248">
        <v>1</v>
      </c>
    </row>
    <row r="249" spans="1:4" x14ac:dyDescent="0.25">
      <c r="A249">
        <v>100110</v>
      </c>
      <c r="B249" s="17">
        <v>7023463</v>
      </c>
      <c r="C249" s="1">
        <v>46033</v>
      </c>
      <c r="D249">
        <v>1</v>
      </c>
    </row>
    <row r="250" spans="1:4" x14ac:dyDescent="0.25">
      <c r="A250">
        <v>100112</v>
      </c>
      <c r="B250" s="17">
        <v>7023463</v>
      </c>
      <c r="C250" s="1">
        <v>46033</v>
      </c>
      <c r="D250">
        <v>2</v>
      </c>
    </row>
    <row r="251" spans="1:4" x14ac:dyDescent="0.25">
      <c r="A251">
        <v>100105</v>
      </c>
      <c r="B251" s="17">
        <v>7165581</v>
      </c>
      <c r="C251" s="1">
        <v>46033</v>
      </c>
      <c r="D251">
        <v>1</v>
      </c>
    </row>
    <row r="252" spans="1:4" x14ac:dyDescent="0.25">
      <c r="A252">
        <v>100106</v>
      </c>
      <c r="B252" s="17">
        <v>7165581</v>
      </c>
      <c r="C252" s="1">
        <v>46033</v>
      </c>
      <c r="D252">
        <v>1</v>
      </c>
    </row>
    <row r="253" spans="1:4" x14ac:dyDescent="0.25">
      <c r="A253">
        <v>100108</v>
      </c>
      <c r="B253" s="17">
        <v>7165581</v>
      </c>
      <c r="C253" s="1">
        <v>46033</v>
      </c>
      <c r="D253">
        <v>1</v>
      </c>
    </row>
    <row r="254" spans="1:4" x14ac:dyDescent="0.25">
      <c r="A254">
        <v>100107</v>
      </c>
      <c r="B254" s="17">
        <v>8306905</v>
      </c>
      <c r="C254" s="1">
        <v>46033</v>
      </c>
      <c r="D254">
        <v>2</v>
      </c>
    </row>
    <row r="255" spans="1:4" x14ac:dyDescent="0.25">
      <c r="A255">
        <v>100109</v>
      </c>
      <c r="B255" s="17">
        <v>8306905</v>
      </c>
      <c r="C255" s="1">
        <v>46033</v>
      </c>
      <c r="D255">
        <v>1</v>
      </c>
    </row>
    <row r="256" spans="1:4" x14ac:dyDescent="0.25">
      <c r="A256">
        <v>100111</v>
      </c>
      <c r="B256" s="17">
        <v>8306905</v>
      </c>
      <c r="C256" s="1">
        <v>46033</v>
      </c>
      <c r="D256">
        <v>2</v>
      </c>
    </row>
    <row r="257" spans="1:4" x14ac:dyDescent="0.25">
      <c r="A257">
        <v>100111</v>
      </c>
      <c r="B257" s="17">
        <v>8405468</v>
      </c>
      <c r="C257" s="1">
        <v>46033</v>
      </c>
      <c r="D257">
        <v>0</v>
      </c>
    </row>
    <row r="258" spans="1:4" x14ac:dyDescent="0.25">
      <c r="A258">
        <v>100112</v>
      </c>
      <c r="B258" s="17">
        <v>8405468</v>
      </c>
      <c r="C258" s="1">
        <v>46033</v>
      </c>
      <c r="D258">
        <v>0</v>
      </c>
    </row>
    <row r="259" spans="1:4" x14ac:dyDescent="0.25">
      <c r="A259">
        <v>100101</v>
      </c>
      <c r="B259" s="17">
        <v>9115955</v>
      </c>
      <c r="C259" s="1">
        <v>46033</v>
      </c>
      <c r="D259">
        <v>1</v>
      </c>
    </row>
    <row r="260" spans="1:4" x14ac:dyDescent="0.25">
      <c r="A260">
        <v>100103</v>
      </c>
      <c r="B260" s="17">
        <v>9292315</v>
      </c>
      <c r="C260" s="1">
        <v>46033</v>
      </c>
      <c r="D260">
        <v>1</v>
      </c>
    </row>
    <row r="261" spans="1:4" x14ac:dyDescent="0.25">
      <c r="A261">
        <v>100115</v>
      </c>
      <c r="B261" s="17">
        <v>1088638</v>
      </c>
      <c r="C261" s="1">
        <v>46034</v>
      </c>
      <c r="D261">
        <v>3</v>
      </c>
    </row>
    <row r="262" spans="1:4" x14ac:dyDescent="0.25">
      <c r="A262">
        <v>100117</v>
      </c>
      <c r="B262" s="17">
        <v>1088638</v>
      </c>
      <c r="C262" s="1">
        <v>46034</v>
      </c>
      <c r="D262">
        <v>2</v>
      </c>
    </row>
    <row r="263" spans="1:4" x14ac:dyDescent="0.25">
      <c r="A263">
        <v>100119</v>
      </c>
      <c r="B263" s="17">
        <v>1253167</v>
      </c>
      <c r="C263" s="1">
        <v>46034</v>
      </c>
      <c r="D263">
        <v>2</v>
      </c>
    </row>
    <row r="264" spans="1:4" x14ac:dyDescent="0.25">
      <c r="A264">
        <v>100113</v>
      </c>
      <c r="B264" s="17">
        <v>1711217</v>
      </c>
      <c r="C264" s="1">
        <v>46034</v>
      </c>
      <c r="D264">
        <v>1</v>
      </c>
    </row>
    <row r="265" spans="1:4" x14ac:dyDescent="0.25">
      <c r="A265">
        <v>100116</v>
      </c>
      <c r="B265" s="17">
        <v>1711217</v>
      </c>
      <c r="C265" s="1">
        <v>46034</v>
      </c>
      <c r="D265">
        <v>2</v>
      </c>
    </row>
    <row r="266" spans="1:4" x14ac:dyDescent="0.25">
      <c r="A266">
        <v>100118</v>
      </c>
      <c r="B266" s="17">
        <v>1711217</v>
      </c>
      <c r="C266" s="1">
        <v>46034</v>
      </c>
      <c r="D266">
        <v>2</v>
      </c>
    </row>
    <row r="267" spans="1:4" x14ac:dyDescent="0.25">
      <c r="A267">
        <v>100119</v>
      </c>
      <c r="B267" s="17">
        <v>5619128</v>
      </c>
      <c r="C267" s="1">
        <v>46034</v>
      </c>
      <c r="D267">
        <v>1</v>
      </c>
    </row>
    <row r="268" spans="1:4" x14ac:dyDescent="0.25">
      <c r="A268">
        <v>100118</v>
      </c>
      <c r="B268" s="17">
        <v>6334728</v>
      </c>
      <c r="C268" s="1">
        <v>46034</v>
      </c>
      <c r="D268">
        <v>1</v>
      </c>
    </row>
    <row r="269" spans="1:4" x14ac:dyDescent="0.25">
      <c r="A269">
        <v>100117</v>
      </c>
      <c r="B269" s="17">
        <v>7023463</v>
      </c>
      <c r="C269" s="1">
        <v>46034</v>
      </c>
      <c r="D269">
        <v>1</v>
      </c>
    </row>
    <row r="270" spans="1:4" x14ac:dyDescent="0.25">
      <c r="A270">
        <v>100118</v>
      </c>
      <c r="B270" s="17">
        <v>7023463</v>
      </c>
      <c r="C270" s="1">
        <v>46034</v>
      </c>
      <c r="D270">
        <v>1</v>
      </c>
    </row>
    <row r="271" spans="1:4" x14ac:dyDescent="0.25">
      <c r="A271">
        <v>100119</v>
      </c>
      <c r="B271" s="17">
        <v>7023463</v>
      </c>
      <c r="C271" s="1">
        <v>46034</v>
      </c>
      <c r="D271">
        <v>1</v>
      </c>
    </row>
    <row r="272" spans="1:4" x14ac:dyDescent="0.25">
      <c r="A272">
        <v>100116</v>
      </c>
      <c r="B272" s="17">
        <v>7165581</v>
      </c>
      <c r="C272" s="1">
        <v>46034</v>
      </c>
      <c r="D272">
        <v>1</v>
      </c>
    </row>
    <row r="273" spans="1:4" x14ac:dyDescent="0.25">
      <c r="A273">
        <v>100114</v>
      </c>
      <c r="B273" s="17">
        <v>9292315</v>
      </c>
      <c r="C273" s="1">
        <v>46034</v>
      </c>
      <c r="D273">
        <v>2</v>
      </c>
    </row>
    <row r="274" spans="1:4" x14ac:dyDescent="0.25">
      <c r="A274">
        <v>100122</v>
      </c>
      <c r="B274" s="17">
        <v>1253167</v>
      </c>
      <c r="C274" s="1">
        <v>46035</v>
      </c>
      <c r="D274">
        <v>1</v>
      </c>
    </row>
    <row r="275" spans="1:4" x14ac:dyDescent="0.25">
      <c r="A275">
        <v>100123</v>
      </c>
      <c r="B275" s="17">
        <v>1253167</v>
      </c>
      <c r="C275" s="1">
        <v>46035</v>
      </c>
      <c r="D275">
        <v>3</v>
      </c>
    </row>
    <row r="276" spans="1:4" x14ac:dyDescent="0.25">
      <c r="A276">
        <v>100122</v>
      </c>
      <c r="B276" s="17">
        <v>1711217</v>
      </c>
      <c r="C276" s="1">
        <v>46035</v>
      </c>
      <c r="D276">
        <v>2</v>
      </c>
    </row>
    <row r="277" spans="1:4" x14ac:dyDescent="0.25">
      <c r="A277">
        <v>100123</v>
      </c>
      <c r="B277" s="17">
        <v>1711217</v>
      </c>
      <c r="C277" s="1">
        <v>46035</v>
      </c>
      <c r="D277">
        <v>1</v>
      </c>
    </row>
    <row r="278" spans="1:4" x14ac:dyDescent="0.25">
      <c r="A278">
        <v>100120</v>
      </c>
      <c r="B278" s="17">
        <v>2012714</v>
      </c>
      <c r="C278" s="1">
        <v>46035</v>
      </c>
      <c r="D278">
        <v>1</v>
      </c>
    </row>
    <row r="279" spans="1:4" x14ac:dyDescent="0.25">
      <c r="A279">
        <v>100121</v>
      </c>
      <c r="B279" s="17">
        <v>2012714</v>
      </c>
      <c r="C279" s="1">
        <v>46035</v>
      </c>
      <c r="D279">
        <v>1</v>
      </c>
    </row>
    <row r="280" spans="1:4" x14ac:dyDescent="0.25">
      <c r="A280">
        <v>100122</v>
      </c>
      <c r="B280" s="17">
        <v>4255235</v>
      </c>
      <c r="C280" s="1">
        <v>46035</v>
      </c>
      <c r="D280">
        <v>1</v>
      </c>
    </row>
    <row r="281" spans="1:4" x14ac:dyDescent="0.25">
      <c r="A281">
        <v>100123</v>
      </c>
      <c r="B281" s="17">
        <v>4255235</v>
      </c>
      <c r="C281" s="1">
        <v>46035</v>
      </c>
      <c r="D281">
        <v>1</v>
      </c>
    </row>
    <row r="282" spans="1:4" x14ac:dyDescent="0.25">
      <c r="A282">
        <v>100121</v>
      </c>
      <c r="B282" s="17">
        <v>8306905</v>
      </c>
      <c r="C282" s="1">
        <v>46035</v>
      </c>
      <c r="D282">
        <v>1</v>
      </c>
    </row>
    <row r="283" spans="1:4" x14ac:dyDescent="0.25">
      <c r="A283">
        <v>100122</v>
      </c>
      <c r="B283" s="17">
        <v>9044404</v>
      </c>
      <c r="C283" s="1">
        <v>46035</v>
      </c>
      <c r="D283">
        <v>1</v>
      </c>
    </row>
    <row r="284" spans="1:4" x14ac:dyDescent="0.25">
      <c r="A284">
        <v>100123</v>
      </c>
      <c r="B284" s="17">
        <v>9044404</v>
      </c>
      <c r="C284" s="1">
        <v>46035</v>
      </c>
      <c r="D284">
        <v>1</v>
      </c>
    </row>
    <row r="285" spans="1:4" x14ac:dyDescent="0.25">
      <c r="A285">
        <v>100124</v>
      </c>
      <c r="B285" s="17">
        <v>1088638</v>
      </c>
      <c r="C285" s="1">
        <v>46036</v>
      </c>
      <c r="D285">
        <v>1</v>
      </c>
    </row>
    <row r="286" spans="1:4" x14ac:dyDescent="0.25">
      <c r="A286">
        <v>100134</v>
      </c>
      <c r="B286" s="17">
        <v>1088638</v>
      </c>
      <c r="C286" s="1">
        <v>46036</v>
      </c>
      <c r="D286">
        <v>3</v>
      </c>
    </row>
    <row r="287" spans="1:4" x14ac:dyDescent="0.25">
      <c r="A287">
        <v>100131</v>
      </c>
      <c r="B287" s="17">
        <v>1253167</v>
      </c>
      <c r="C287" s="1">
        <v>46036</v>
      </c>
      <c r="D287">
        <v>1</v>
      </c>
    </row>
    <row r="288" spans="1:4" x14ac:dyDescent="0.25">
      <c r="A288">
        <v>100134</v>
      </c>
      <c r="B288" s="17">
        <v>1253167</v>
      </c>
      <c r="C288" s="1">
        <v>46036</v>
      </c>
      <c r="D288">
        <v>0</v>
      </c>
    </row>
    <row r="289" spans="1:4" x14ac:dyDescent="0.25">
      <c r="A289">
        <v>100131</v>
      </c>
      <c r="B289" s="17">
        <v>1711217</v>
      </c>
      <c r="C289" s="1">
        <v>46036</v>
      </c>
      <c r="D289">
        <v>2</v>
      </c>
    </row>
    <row r="290" spans="1:4" x14ac:dyDescent="0.25">
      <c r="A290">
        <v>100129</v>
      </c>
      <c r="B290" s="17">
        <v>2012714</v>
      </c>
      <c r="C290" s="1">
        <v>46036</v>
      </c>
      <c r="D290">
        <v>2</v>
      </c>
    </row>
    <row r="291" spans="1:4" x14ac:dyDescent="0.25">
      <c r="A291">
        <v>100128</v>
      </c>
      <c r="B291" s="17">
        <v>2732499</v>
      </c>
      <c r="C291" s="1">
        <v>46036</v>
      </c>
      <c r="D291">
        <v>2</v>
      </c>
    </row>
    <row r="292" spans="1:4" x14ac:dyDescent="0.25">
      <c r="A292">
        <v>100133</v>
      </c>
      <c r="B292" s="17">
        <v>2732499</v>
      </c>
      <c r="C292" s="1">
        <v>46036</v>
      </c>
      <c r="D292">
        <v>1</v>
      </c>
    </row>
    <row r="293" spans="1:4" x14ac:dyDescent="0.25">
      <c r="A293">
        <v>100130</v>
      </c>
      <c r="B293" s="17">
        <v>3894456</v>
      </c>
      <c r="C293" s="1">
        <v>46036</v>
      </c>
      <c r="D293">
        <v>1</v>
      </c>
    </row>
    <row r="294" spans="1:4" x14ac:dyDescent="0.25">
      <c r="A294">
        <v>100132</v>
      </c>
      <c r="B294" s="17">
        <v>5624747</v>
      </c>
      <c r="C294" s="1">
        <v>46036</v>
      </c>
      <c r="D294">
        <v>2</v>
      </c>
    </row>
    <row r="295" spans="1:4" x14ac:dyDescent="0.25">
      <c r="A295">
        <v>100133</v>
      </c>
      <c r="B295" s="17">
        <v>5624747</v>
      </c>
      <c r="C295" s="1">
        <v>46036</v>
      </c>
      <c r="D295">
        <v>1</v>
      </c>
    </row>
    <row r="296" spans="1:4" x14ac:dyDescent="0.25">
      <c r="A296">
        <v>100125</v>
      </c>
      <c r="B296" s="17">
        <v>6825224</v>
      </c>
      <c r="C296" s="1">
        <v>46036</v>
      </c>
      <c r="D296">
        <v>1</v>
      </c>
    </row>
    <row r="297" spans="1:4" x14ac:dyDescent="0.25">
      <c r="A297">
        <v>100132</v>
      </c>
      <c r="B297" s="17">
        <v>6825224</v>
      </c>
      <c r="C297" s="1">
        <v>46036</v>
      </c>
      <c r="D297">
        <v>1</v>
      </c>
    </row>
    <row r="298" spans="1:4" x14ac:dyDescent="0.25">
      <c r="A298">
        <v>100127</v>
      </c>
      <c r="B298" s="17">
        <v>7023463</v>
      </c>
      <c r="C298" s="1">
        <v>46036</v>
      </c>
      <c r="D298">
        <v>2</v>
      </c>
    </row>
    <row r="299" spans="1:4" x14ac:dyDescent="0.25">
      <c r="A299">
        <v>100131</v>
      </c>
      <c r="B299" s="17">
        <v>7023463</v>
      </c>
      <c r="C299" s="1">
        <v>46036</v>
      </c>
      <c r="D299">
        <v>1</v>
      </c>
    </row>
    <row r="300" spans="1:4" x14ac:dyDescent="0.25">
      <c r="A300">
        <v>100132</v>
      </c>
      <c r="B300" s="17">
        <v>7023463</v>
      </c>
      <c r="C300" s="1">
        <v>46036</v>
      </c>
      <c r="D300">
        <v>1</v>
      </c>
    </row>
    <row r="301" spans="1:4" x14ac:dyDescent="0.25">
      <c r="A301">
        <v>100133</v>
      </c>
      <c r="B301" s="17">
        <v>7023463</v>
      </c>
      <c r="C301" s="1">
        <v>46036</v>
      </c>
      <c r="D301">
        <v>1</v>
      </c>
    </row>
    <row r="302" spans="1:4" x14ac:dyDescent="0.25">
      <c r="A302">
        <v>100126</v>
      </c>
      <c r="B302" s="17">
        <v>8405468</v>
      </c>
      <c r="C302" s="1">
        <v>46036</v>
      </c>
      <c r="D302">
        <v>0</v>
      </c>
    </row>
    <row r="303" spans="1:4" x14ac:dyDescent="0.25">
      <c r="A303">
        <v>100134</v>
      </c>
      <c r="B303" s="17">
        <v>8405468</v>
      </c>
      <c r="C303" s="1">
        <v>46036</v>
      </c>
      <c r="D303">
        <v>0</v>
      </c>
    </row>
    <row r="304" spans="1:4" x14ac:dyDescent="0.25">
      <c r="A304">
        <v>100130</v>
      </c>
      <c r="B304" s="17">
        <v>9292315</v>
      </c>
      <c r="C304" s="1">
        <v>46036</v>
      </c>
      <c r="D304">
        <v>1</v>
      </c>
    </row>
    <row r="305" spans="1:4" x14ac:dyDescent="0.25">
      <c r="A305">
        <v>100133</v>
      </c>
      <c r="B305" s="17">
        <v>9292315</v>
      </c>
      <c r="C305" s="1">
        <v>46036</v>
      </c>
      <c r="D305">
        <v>1</v>
      </c>
    </row>
    <row r="306" spans="1:4" x14ac:dyDescent="0.25">
      <c r="A306">
        <v>100139</v>
      </c>
      <c r="B306" s="17">
        <v>1088638</v>
      </c>
      <c r="C306" s="1">
        <v>46037</v>
      </c>
      <c r="D306">
        <v>1</v>
      </c>
    </row>
    <row r="307" spans="1:4" x14ac:dyDescent="0.25">
      <c r="A307">
        <v>100143</v>
      </c>
      <c r="B307" s="17">
        <v>1088638</v>
      </c>
      <c r="C307" s="1">
        <v>46037</v>
      </c>
      <c r="D307">
        <v>1</v>
      </c>
    </row>
    <row r="308" spans="1:4" x14ac:dyDescent="0.25">
      <c r="A308">
        <v>100144</v>
      </c>
      <c r="B308" s="17">
        <v>1088638</v>
      </c>
      <c r="C308" s="1">
        <v>46037</v>
      </c>
      <c r="D308">
        <v>2</v>
      </c>
    </row>
    <row r="309" spans="1:4" x14ac:dyDescent="0.25">
      <c r="A309">
        <v>100144</v>
      </c>
      <c r="B309" s="17">
        <v>1253167</v>
      </c>
      <c r="C309" s="1">
        <v>46037</v>
      </c>
      <c r="D309">
        <v>0</v>
      </c>
    </row>
    <row r="310" spans="1:4" x14ac:dyDescent="0.25">
      <c r="A310">
        <v>100137</v>
      </c>
      <c r="B310" s="17">
        <v>1331817</v>
      </c>
      <c r="C310" s="1">
        <v>46037</v>
      </c>
      <c r="D310">
        <v>2</v>
      </c>
    </row>
    <row r="311" spans="1:4" x14ac:dyDescent="0.25">
      <c r="A311">
        <v>100140</v>
      </c>
      <c r="B311" s="17">
        <v>1711217</v>
      </c>
      <c r="C311" s="1">
        <v>46037</v>
      </c>
      <c r="D311">
        <v>1</v>
      </c>
    </row>
    <row r="312" spans="1:4" x14ac:dyDescent="0.25">
      <c r="A312">
        <v>100141</v>
      </c>
      <c r="B312" s="17">
        <v>1711217</v>
      </c>
      <c r="C312" s="1">
        <v>46037</v>
      </c>
      <c r="D312">
        <v>1</v>
      </c>
    </row>
    <row r="313" spans="1:4" x14ac:dyDescent="0.25">
      <c r="A313">
        <v>100142</v>
      </c>
      <c r="B313" s="17">
        <v>1711217</v>
      </c>
      <c r="C313" s="1">
        <v>46037</v>
      </c>
      <c r="D313">
        <v>2</v>
      </c>
    </row>
    <row r="314" spans="1:4" x14ac:dyDescent="0.25">
      <c r="A314">
        <v>100135</v>
      </c>
      <c r="B314" s="17">
        <v>6828260</v>
      </c>
      <c r="C314" s="1">
        <v>46037</v>
      </c>
      <c r="D314">
        <v>1</v>
      </c>
    </row>
    <row r="315" spans="1:4" x14ac:dyDescent="0.25">
      <c r="A315">
        <v>100140</v>
      </c>
      <c r="B315" s="17">
        <v>6828260</v>
      </c>
      <c r="C315" s="1">
        <v>46037</v>
      </c>
      <c r="D315">
        <v>1</v>
      </c>
    </row>
    <row r="316" spans="1:4" x14ac:dyDescent="0.25">
      <c r="A316">
        <v>100138</v>
      </c>
      <c r="B316" s="17">
        <v>7165581</v>
      </c>
      <c r="C316" s="1">
        <v>46037</v>
      </c>
      <c r="D316">
        <v>1</v>
      </c>
    </row>
    <row r="317" spans="1:4" x14ac:dyDescent="0.25">
      <c r="A317">
        <v>100141</v>
      </c>
      <c r="B317" s="17">
        <v>8405468</v>
      </c>
      <c r="C317" s="1">
        <v>46037</v>
      </c>
      <c r="D317">
        <v>0</v>
      </c>
    </row>
    <row r="318" spans="1:4" x14ac:dyDescent="0.25">
      <c r="A318">
        <v>100143</v>
      </c>
      <c r="B318" s="17">
        <v>8405468</v>
      </c>
      <c r="C318" s="1">
        <v>46037</v>
      </c>
      <c r="D318">
        <v>0</v>
      </c>
    </row>
    <row r="319" spans="1:4" x14ac:dyDescent="0.25">
      <c r="A319">
        <v>100138</v>
      </c>
      <c r="B319" s="17">
        <v>8860153</v>
      </c>
      <c r="C319" s="1">
        <v>46037</v>
      </c>
      <c r="D319">
        <v>1</v>
      </c>
    </row>
    <row r="320" spans="1:4" x14ac:dyDescent="0.25">
      <c r="A320">
        <v>100136</v>
      </c>
      <c r="B320" s="17">
        <v>9292315</v>
      </c>
      <c r="C320" s="1">
        <v>46037</v>
      </c>
      <c r="D320">
        <v>1</v>
      </c>
    </row>
    <row r="321" spans="1:4" x14ac:dyDescent="0.25">
      <c r="A321">
        <v>100139</v>
      </c>
      <c r="B321" s="17">
        <v>9292315</v>
      </c>
      <c r="C321" s="1">
        <v>46037</v>
      </c>
      <c r="D321">
        <v>1</v>
      </c>
    </row>
    <row r="322" spans="1:4" x14ac:dyDescent="0.25">
      <c r="A322">
        <v>100142</v>
      </c>
      <c r="B322" s="17">
        <v>9292315</v>
      </c>
      <c r="C322" s="1">
        <v>46037</v>
      </c>
      <c r="D322">
        <v>1</v>
      </c>
    </row>
    <row r="323" spans="1:4" x14ac:dyDescent="0.25">
      <c r="A323">
        <v>100144</v>
      </c>
      <c r="B323" s="17">
        <v>9292315</v>
      </c>
      <c r="C323" s="1">
        <v>46037</v>
      </c>
      <c r="D323">
        <v>1</v>
      </c>
    </row>
    <row r="324" spans="1:4" x14ac:dyDescent="0.25">
      <c r="A324">
        <v>100146</v>
      </c>
      <c r="B324" s="17">
        <v>1088638</v>
      </c>
      <c r="C324" s="1">
        <v>46038</v>
      </c>
      <c r="D324">
        <v>1</v>
      </c>
    </row>
    <row r="325" spans="1:4" x14ac:dyDescent="0.25">
      <c r="A325">
        <v>100148</v>
      </c>
      <c r="B325" s="17">
        <v>1088638</v>
      </c>
      <c r="C325" s="1">
        <v>46038</v>
      </c>
      <c r="D325">
        <v>1</v>
      </c>
    </row>
    <row r="326" spans="1:4" x14ac:dyDescent="0.25">
      <c r="A326">
        <v>100150</v>
      </c>
      <c r="B326" s="17">
        <v>1088638</v>
      </c>
      <c r="C326" s="1">
        <v>46038</v>
      </c>
      <c r="D326">
        <v>1</v>
      </c>
    </row>
    <row r="327" spans="1:4" x14ac:dyDescent="0.25">
      <c r="A327">
        <v>100152</v>
      </c>
      <c r="B327" s="17">
        <v>1088638</v>
      </c>
      <c r="C327" s="1">
        <v>46038</v>
      </c>
      <c r="D327">
        <v>3</v>
      </c>
    </row>
    <row r="328" spans="1:4" x14ac:dyDescent="0.25">
      <c r="A328">
        <v>100145</v>
      </c>
      <c r="B328" s="17">
        <v>1253167</v>
      </c>
      <c r="C328" s="1">
        <v>46038</v>
      </c>
      <c r="D328">
        <v>0</v>
      </c>
    </row>
    <row r="329" spans="1:4" x14ac:dyDescent="0.25">
      <c r="A329">
        <v>100151</v>
      </c>
      <c r="B329" s="17">
        <v>1253167</v>
      </c>
      <c r="C329" s="1">
        <v>46038</v>
      </c>
      <c r="D329">
        <v>0</v>
      </c>
    </row>
    <row r="330" spans="1:4" x14ac:dyDescent="0.25">
      <c r="A330">
        <v>100151</v>
      </c>
      <c r="B330" s="17">
        <v>1711217</v>
      </c>
      <c r="C330" s="1">
        <v>46038</v>
      </c>
      <c r="D330">
        <v>2</v>
      </c>
    </row>
    <row r="331" spans="1:4" x14ac:dyDescent="0.25">
      <c r="A331">
        <v>100151</v>
      </c>
      <c r="B331" s="17">
        <v>2732499</v>
      </c>
      <c r="C331" s="1">
        <v>46038</v>
      </c>
      <c r="D331">
        <v>1</v>
      </c>
    </row>
    <row r="332" spans="1:4" x14ac:dyDescent="0.25">
      <c r="A332">
        <v>100151</v>
      </c>
      <c r="B332" s="17">
        <v>5619128</v>
      </c>
      <c r="C332" s="1">
        <v>46038</v>
      </c>
      <c r="D332">
        <v>1</v>
      </c>
    </row>
    <row r="333" spans="1:4" x14ac:dyDescent="0.25">
      <c r="A333">
        <v>100148</v>
      </c>
      <c r="B333" s="17">
        <v>6825224</v>
      </c>
      <c r="C333" s="1">
        <v>46038</v>
      </c>
      <c r="D333">
        <v>1</v>
      </c>
    </row>
    <row r="334" spans="1:4" x14ac:dyDescent="0.25">
      <c r="A334">
        <v>100149</v>
      </c>
      <c r="B334" s="17">
        <v>6825224</v>
      </c>
      <c r="C334" s="1">
        <v>46038</v>
      </c>
      <c r="D334">
        <v>1</v>
      </c>
    </row>
    <row r="335" spans="1:4" x14ac:dyDescent="0.25">
      <c r="A335">
        <v>100150</v>
      </c>
      <c r="B335" s="17">
        <v>6825224</v>
      </c>
      <c r="C335" s="1">
        <v>46038</v>
      </c>
      <c r="D335">
        <v>3</v>
      </c>
    </row>
    <row r="336" spans="1:4" x14ac:dyDescent="0.25">
      <c r="A336">
        <v>100149</v>
      </c>
      <c r="B336" s="17">
        <v>6828260</v>
      </c>
      <c r="C336" s="1">
        <v>46038</v>
      </c>
      <c r="D336">
        <v>1</v>
      </c>
    </row>
    <row r="337" spans="1:4" x14ac:dyDescent="0.25">
      <c r="A337">
        <v>100152</v>
      </c>
      <c r="B337" s="17">
        <v>6828260</v>
      </c>
      <c r="C337" s="1">
        <v>46038</v>
      </c>
      <c r="D337">
        <v>1</v>
      </c>
    </row>
    <row r="338" spans="1:4" x14ac:dyDescent="0.25">
      <c r="A338">
        <v>100150</v>
      </c>
      <c r="B338" s="17">
        <v>7165581</v>
      </c>
      <c r="C338" s="1">
        <v>46038</v>
      </c>
      <c r="D338">
        <v>2</v>
      </c>
    </row>
    <row r="339" spans="1:4" x14ac:dyDescent="0.25">
      <c r="A339">
        <v>100152</v>
      </c>
      <c r="B339" s="17">
        <v>7165581</v>
      </c>
      <c r="C339" s="1">
        <v>46038</v>
      </c>
      <c r="D339">
        <v>1</v>
      </c>
    </row>
    <row r="340" spans="1:4" x14ac:dyDescent="0.25">
      <c r="A340">
        <v>100147</v>
      </c>
      <c r="B340" s="17">
        <v>9292315</v>
      </c>
      <c r="C340" s="1">
        <v>46038</v>
      </c>
      <c r="D340">
        <v>1</v>
      </c>
    </row>
    <row r="341" spans="1:4" x14ac:dyDescent="0.25">
      <c r="A341">
        <v>100149</v>
      </c>
      <c r="B341" s="17">
        <v>9292315</v>
      </c>
      <c r="C341" s="1">
        <v>46038</v>
      </c>
      <c r="D341">
        <v>1</v>
      </c>
    </row>
    <row r="342" spans="1:4" x14ac:dyDescent="0.25">
      <c r="A342">
        <v>100152</v>
      </c>
      <c r="B342" s="17">
        <v>9292315</v>
      </c>
      <c r="C342" s="1">
        <v>46038</v>
      </c>
      <c r="D342">
        <v>2</v>
      </c>
    </row>
    <row r="343" spans="1:4" x14ac:dyDescent="0.25">
      <c r="A343">
        <v>100158</v>
      </c>
      <c r="B343" s="17">
        <v>1088638</v>
      </c>
      <c r="C343" s="1">
        <v>46039</v>
      </c>
      <c r="D343">
        <v>1</v>
      </c>
    </row>
    <row r="344" spans="1:4" x14ac:dyDescent="0.25">
      <c r="A344">
        <v>100160</v>
      </c>
      <c r="B344" s="17">
        <v>1088638</v>
      </c>
      <c r="C344" s="1">
        <v>46039</v>
      </c>
      <c r="D344">
        <v>1</v>
      </c>
    </row>
    <row r="345" spans="1:4" x14ac:dyDescent="0.25">
      <c r="A345">
        <v>100161</v>
      </c>
      <c r="B345" s="17">
        <v>1088638</v>
      </c>
      <c r="C345" s="1">
        <v>46039</v>
      </c>
      <c r="D345">
        <v>1</v>
      </c>
    </row>
    <row r="346" spans="1:4" x14ac:dyDescent="0.25">
      <c r="A346">
        <v>100157</v>
      </c>
      <c r="B346" s="17">
        <v>1253167</v>
      </c>
      <c r="C346" s="1">
        <v>46039</v>
      </c>
      <c r="D346">
        <v>0</v>
      </c>
    </row>
    <row r="347" spans="1:4" x14ac:dyDescent="0.25">
      <c r="A347">
        <v>100162</v>
      </c>
      <c r="B347" s="17">
        <v>1253167</v>
      </c>
      <c r="C347" s="1">
        <v>46039</v>
      </c>
      <c r="D347">
        <v>0</v>
      </c>
    </row>
    <row r="348" spans="1:4" x14ac:dyDescent="0.25">
      <c r="A348">
        <v>100155</v>
      </c>
      <c r="B348" s="17">
        <v>1711217</v>
      </c>
      <c r="C348" s="1">
        <v>46039</v>
      </c>
      <c r="D348">
        <v>1</v>
      </c>
    </row>
    <row r="349" spans="1:4" x14ac:dyDescent="0.25">
      <c r="A349">
        <v>100160</v>
      </c>
      <c r="B349" s="17">
        <v>1711217</v>
      </c>
      <c r="C349" s="1">
        <v>46039</v>
      </c>
      <c r="D349">
        <v>2</v>
      </c>
    </row>
    <row r="350" spans="1:4" x14ac:dyDescent="0.25">
      <c r="A350">
        <v>100161</v>
      </c>
      <c r="B350" s="17">
        <v>1711217</v>
      </c>
      <c r="C350" s="1">
        <v>46039</v>
      </c>
      <c r="D350">
        <v>1</v>
      </c>
    </row>
    <row r="351" spans="1:4" x14ac:dyDescent="0.25">
      <c r="A351">
        <v>100157</v>
      </c>
      <c r="B351" s="17">
        <v>2424707</v>
      </c>
      <c r="C351" s="1">
        <v>46039</v>
      </c>
      <c r="D351">
        <v>1</v>
      </c>
    </row>
    <row r="352" spans="1:4" x14ac:dyDescent="0.25">
      <c r="A352">
        <v>100159</v>
      </c>
      <c r="B352" s="17">
        <v>2424707</v>
      </c>
      <c r="C352" s="1">
        <v>46039</v>
      </c>
      <c r="D352">
        <v>1</v>
      </c>
    </row>
    <row r="353" spans="1:4" x14ac:dyDescent="0.25">
      <c r="A353">
        <v>100154</v>
      </c>
      <c r="B353" s="17">
        <v>4255235</v>
      </c>
      <c r="C353" s="1">
        <v>46039</v>
      </c>
      <c r="D353">
        <v>1</v>
      </c>
    </row>
    <row r="354" spans="1:4" x14ac:dyDescent="0.25">
      <c r="A354">
        <v>100161</v>
      </c>
      <c r="B354" s="17">
        <v>4255235</v>
      </c>
      <c r="C354" s="1">
        <v>46039</v>
      </c>
      <c r="D354">
        <v>1</v>
      </c>
    </row>
    <row r="355" spans="1:4" x14ac:dyDescent="0.25">
      <c r="A355">
        <v>100162</v>
      </c>
      <c r="B355" s="17">
        <v>4255235</v>
      </c>
      <c r="C355" s="1">
        <v>46039</v>
      </c>
      <c r="D355">
        <v>1</v>
      </c>
    </row>
    <row r="356" spans="1:4" x14ac:dyDescent="0.25">
      <c r="A356">
        <v>100161</v>
      </c>
      <c r="B356" s="17">
        <v>5619128</v>
      </c>
      <c r="C356" s="1">
        <v>46039</v>
      </c>
      <c r="D356">
        <v>1</v>
      </c>
    </row>
    <row r="357" spans="1:4" x14ac:dyDescent="0.25">
      <c r="A357">
        <v>100159</v>
      </c>
      <c r="B357" s="17">
        <v>6334728</v>
      </c>
      <c r="C357" s="1">
        <v>46039</v>
      </c>
      <c r="D357">
        <v>1</v>
      </c>
    </row>
    <row r="358" spans="1:4" x14ac:dyDescent="0.25">
      <c r="A358">
        <v>100155</v>
      </c>
      <c r="B358" s="17">
        <v>6828260</v>
      </c>
      <c r="C358" s="1">
        <v>46039</v>
      </c>
      <c r="D358">
        <v>1</v>
      </c>
    </row>
    <row r="359" spans="1:4" x14ac:dyDescent="0.25">
      <c r="A359">
        <v>100158</v>
      </c>
      <c r="B359" s="17">
        <v>7023463</v>
      </c>
      <c r="C359" s="1">
        <v>46039</v>
      </c>
      <c r="D359">
        <v>1</v>
      </c>
    </row>
    <row r="360" spans="1:4" x14ac:dyDescent="0.25">
      <c r="A360">
        <v>100159</v>
      </c>
      <c r="B360" s="17">
        <v>7023463</v>
      </c>
      <c r="C360" s="1">
        <v>46039</v>
      </c>
      <c r="D360">
        <v>1</v>
      </c>
    </row>
    <row r="361" spans="1:4" x14ac:dyDescent="0.25">
      <c r="A361">
        <v>100160</v>
      </c>
      <c r="B361" s="17">
        <v>7023463</v>
      </c>
      <c r="C361" s="1">
        <v>46039</v>
      </c>
      <c r="D361">
        <v>1</v>
      </c>
    </row>
    <row r="362" spans="1:4" x14ac:dyDescent="0.25">
      <c r="A362">
        <v>100162</v>
      </c>
      <c r="B362" s="17">
        <v>7023463</v>
      </c>
      <c r="C362" s="1">
        <v>46039</v>
      </c>
      <c r="D362">
        <v>2</v>
      </c>
    </row>
    <row r="363" spans="1:4" x14ac:dyDescent="0.25">
      <c r="A363">
        <v>100153</v>
      </c>
      <c r="B363" s="17">
        <v>8551457</v>
      </c>
      <c r="C363" s="1">
        <v>46039</v>
      </c>
      <c r="D363">
        <v>1</v>
      </c>
    </row>
    <row r="364" spans="1:4" x14ac:dyDescent="0.25">
      <c r="A364">
        <v>100156</v>
      </c>
      <c r="B364" s="17">
        <v>8551457</v>
      </c>
      <c r="C364" s="1">
        <v>46039</v>
      </c>
      <c r="D364">
        <v>1</v>
      </c>
    </row>
    <row r="365" spans="1:4" x14ac:dyDescent="0.25">
      <c r="A365">
        <v>100162</v>
      </c>
      <c r="B365" s="17">
        <v>8551457</v>
      </c>
      <c r="C365" s="1">
        <v>46039</v>
      </c>
      <c r="D365">
        <v>1</v>
      </c>
    </row>
    <row r="366" spans="1:4" x14ac:dyDescent="0.25">
      <c r="A366">
        <v>100154</v>
      </c>
      <c r="B366" s="17">
        <v>9292315</v>
      </c>
      <c r="C366" s="1">
        <v>46039</v>
      </c>
      <c r="D366">
        <v>1</v>
      </c>
    </row>
    <row r="367" spans="1:4" x14ac:dyDescent="0.25">
      <c r="A367">
        <v>100156</v>
      </c>
      <c r="B367" s="17">
        <v>9292315</v>
      </c>
      <c r="C367" s="1">
        <v>46039</v>
      </c>
      <c r="D367">
        <v>2</v>
      </c>
    </row>
    <row r="368" spans="1:4" x14ac:dyDescent="0.25">
      <c r="A368">
        <v>100158</v>
      </c>
      <c r="B368" s="17">
        <v>9292315</v>
      </c>
      <c r="C368" s="1">
        <v>46039</v>
      </c>
      <c r="D368">
        <v>1</v>
      </c>
    </row>
    <row r="369" spans="1:4" x14ac:dyDescent="0.25">
      <c r="A369">
        <v>100164</v>
      </c>
      <c r="B369" s="17">
        <v>2424707</v>
      </c>
      <c r="C369" s="1">
        <v>46040</v>
      </c>
      <c r="D369">
        <v>2</v>
      </c>
    </row>
    <row r="370" spans="1:4" x14ac:dyDescent="0.25">
      <c r="A370">
        <v>100166</v>
      </c>
      <c r="B370" s="17">
        <v>2732499</v>
      </c>
      <c r="C370" s="1">
        <v>46040</v>
      </c>
      <c r="D370">
        <v>1</v>
      </c>
    </row>
    <row r="371" spans="1:4" x14ac:dyDescent="0.25">
      <c r="A371">
        <v>100168</v>
      </c>
      <c r="B371" s="17">
        <v>2732499</v>
      </c>
      <c r="C371" s="1">
        <v>46040</v>
      </c>
      <c r="D371">
        <v>1</v>
      </c>
    </row>
    <row r="372" spans="1:4" x14ac:dyDescent="0.25">
      <c r="A372">
        <v>100169</v>
      </c>
      <c r="B372" s="17">
        <v>2732499</v>
      </c>
      <c r="C372" s="1">
        <v>46040</v>
      </c>
      <c r="D372">
        <v>2</v>
      </c>
    </row>
    <row r="373" spans="1:4" x14ac:dyDescent="0.25">
      <c r="A373">
        <v>100171</v>
      </c>
      <c r="B373" s="17">
        <v>3894456</v>
      </c>
      <c r="C373" s="1">
        <v>46040</v>
      </c>
      <c r="D373">
        <v>2</v>
      </c>
    </row>
    <row r="374" spans="1:4" x14ac:dyDescent="0.25">
      <c r="A374">
        <v>100165</v>
      </c>
      <c r="B374" s="17">
        <v>6825224</v>
      </c>
      <c r="C374" s="1">
        <v>46040</v>
      </c>
      <c r="D374">
        <v>1</v>
      </c>
    </row>
    <row r="375" spans="1:4" x14ac:dyDescent="0.25">
      <c r="A375">
        <v>100165</v>
      </c>
      <c r="B375" s="17">
        <v>7023463</v>
      </c>
      <c r="C375" s="1">
        <v>46040</v>
      </c>
      <c r="D375">
        <v>1</v>
      </c>
    </row>
    <row r="376" spans="1:4" x14ac:dyDescent="0.25">
      <c r="A376">
        <v>100166</v>
      </c>
      <c r="B376" s="17">
        <v>7023463</v>
      </c>
      <c r="C376" s="1">
        <v>46040</v>
      </c>
      <c r="D376">
        <v>1</v>
      </c>
    </row>
    <row r="377" spans="1:4" x14ac:dyDescent="0.25">
      <c r="A377">
        <v>100169</v>
      </c>
      <c r="B377" s="17">
        <v>7023463</v>
      </c>
      <c r="C377" s="1">
        <v>46040</v>
      </c>
      <c r="D377">
        <v>1</v>
      </c>
    </row>
    <row r="378" spans="1:4" x14ac:dyDescent="0.25">
      <c r="A378">
        <v>100171</v>
      </c>
      <c r="B378" s="17">
        <v>7023463</v>
      </c>
      <c r="C378" s="1">
        <v>46040</v>
      </c>
      <c r="D378">
        <v>1</v>
      </c>
    </row>
    <row r="379" spans="1:4" x14ac:dyDescent="0.25">
      <c r="A379">
        <v>100163</v>
      </c>
      <c r="B379" s="17">
        <v>7165581</v>
      </c>
      <c r="C379" s="1">
        <v>46040</v>
      </c>
      <c r="D379">
        <v>1</v>
      </c>
    </row>
    <row r="380" spans="1:4" x14ac:dyDescent="0.25">
      <c r="A380">
        <v>100167</v>
      </c>
      <c r="B380" s="17">
        <v>7165581</v>
      </c>
      <c r="C380" s="1">
        <v>46040</v>
      </c>
      <c r="D380">
        <v>1</v>
      </c>
    </row>
    <row r="381" spans="1:4" x14ac:dyDescent="0.25">
      <c r="A381">
        <v>100168</v>
      </c>
      <c r="B381" s="17">
        <v>7165581</v>
      </c>
      <c r="C381" s="1">
        <v>46040</v>
      </c>
      <c r="D381">
        <v>1</v>
      </c>
    </row>
    <row r="382" spans="1:4" x14ac:dyDescent="0.25">
      <c r="A382">
        <v>100166</v>
      </c>
      <c r="B382" s="17">
        <v>7747619</v>
      </c>
      <c r="C382" s="1">
        <v>46040</v>
      </c>
      <c r="D382">
        <v>1</v>
      </c>
    </row>
    <row r="383" spans="1:4" x14ac:dyDescent="0.25">
      <c r="A383">
        <v>100167</v>
      </c>
      <c r="B383" s="17">
        <v>7747619</v>
      </c>
      <c r="C383" s="1">
        <v>46040</v>
      </c>
      <c r="D383">
        <v>1</v>
      </c>
    </row>
    <row r="384" spans="1:4" x14ac:dyDescent="0.25">
      <c r="A384">
        <v>100171</v>
      </c>
      <c r="B384" s="17">
        <v>7747619</v>
      </c>
      <c r="C384" s="1">
        <v>46040</v>
      </c>
      <c r="D384">
        <v>1</v>
      </c>
    </row>
    <row r="385" spans="1:4" x14ac:dyDescent="0.25">
      <c r="A385">
        <v>100167</v>
      </c>
      <c r="B385" s="17">
        <v>8306905</v>
      </c>
      <c r="C385" s="1">
        <v>46040</v>
      </c>
      <c r="D385">
        <v>1</v>
      </c>
    </row>
    <row r="386" spans="1:4" x14ac:dyDescent="0.25">
      <c r="A386">
        <v>100168</v>
      </c>
      <c r="B386" s="17">
        <v>8306905</v>
      </c>
      <c r="C386" s="1">
        <v>46040</v>
      </c>
      <c r="D386">
        <v>1</v>
      </c>
    </row>
    <row r="387" spans="1:4" x14ac:dyDescent="0.25">
      <c r="A387">
        <v>100170</v>
      </c>
      <c r="B387" s="17">
        <v>8306905</v>
      </c>
      <c r="C387" s="1">
        <v>46040</v>
      </c>
      <c r="D387">
        <v>2</v>
      </c>
    </row>
    <row r="388" spans="1:4" x14ac:dyDescent="0.25">
      <c r="A388">
        <v>100171</v>
      </c>
      <c r="B388" s="17">
        <v>8405468</v>
      </c>
      <c r="C388" s="1">
        <v>46040</v>
      </c>
      <c r="D388">
        <v>0</v>
      </c>
    </row>
    <row r="389" spans="1:4" x14ac:dyDescent="0.25">
      <c r="A389">
        <v>100169</v>
      </c>
      <c r="B389" s="17">
        <v>9292315</v>
      </c>
      <c r="C389" s="1">
        <v>46040</v>
      </c>
      <c r="D389">
        <v>1</v>
      </c>
    </row>
    <row r="390" spans="1:4" x14ac:dyDescent="0.25">
      <c r="A390">
        <v>100170</v>
      </c>
      <c r="B390" s="17">
        <v>9292315</v>
      </c>
      <c r="C390" s="1">
        <v>46040</v>
      </c>
      <c r="D390">
        <v>3</v>
      </c>
    </row>
    <row r="391" spans="1:4" x14ac:dyDescent="0.25">
      <c r="A391">
        <v>100172</v>
      </c>
      <c r="B391" s="17">
        <v>1088638</v>
      </c>
      <c r="C391" s="1">
        <v>46041</v>
      </c>
      <c r="D391">
        <v>1</v>
      </c>
    </row>
    <row r="392" spans="1:4" x14ac:dyDescent="0.25">
      <c r="A392">
        <v>100173</v>
      </c>
      <c r="B392" s="17">
        <v>1088638</v>
      </c>
      <c r="C392" s="1">
        <v>46041</v>
      </c>
      <c r="D392">
        <v>1</v>
      </c>
    </row>
    <row r="393" spans="1:4" x14ac:dyDescent="0.25">
      <c r="A393">
        <v>100174</v>
      </c>
      <c r="B393" s="17">
        <v>1331817</v>
      </c>
      <c r="C393" s="1">
        <v>46041</v>
      </c>
      <c r="D393">
        <v>1</v>
      </c>
    </row>
    <row r="394" spans="1:4" x14ac:dyDescent="0.25">
      <c r="A394">
        <v>100175</v>
      </c>
      <c r="B394" s="17">
        <v>1711217</v>
      </c>
      <c r="C394" s="1">
        <v>46041</v>
      </c>
      <c r="D394">
        <v>1</v>
      </c>
    </row>
    <row r="395" spans="1:4" x14ac:dyDescent="0.25">
      <c r="A395">
        <v>100172</v>
      </c>
      <c r="B395" s="17">
        <v>6825224</v>
      </c>
      <c r="C395" s="1">
        <v>46041</v>
      </c>
      <c r="D395">
        <v>1</v>
      </c>
    </row>
    <row r="396" spans="1:4" x14ac:dyDescent="0.25">
      <c r="A396">
        <v>100174</v>
      </c>
      <c r="B396" s="17">
        <v>6825224</v>
      </c>
      <c r="C396" s="1">
        <v>46041</v>
      </c>
      <c r="D396">
        <v>3</v>
      </c>
    </row>
    <row r="397" spans="1:4" x14ac:dyDescent="0.25">
      <c r="A397">
        <v>100175</v>
      </c>
      <c r="B397" s="17">
        <v>6825224</v>
      </c>
      <c r="C397" s="1">
        <v>46041</v>
      </c>
      <c r="D397">
        <v>1</v>
      </c>
    </row>
    <row r="398" spans="1:4" x14ac:dyDescent="0.25">
      <c r="A398">
        <v>100173</v>
      </c>
      <c r="B398" s="17">
        <v>7023463</v>
      </c>
      <c r="C398" s="1">
        <v>46041</v>
      </c>
      <c r="D398">
        <v>3</v>
      </c>
    </row>
    <row r="399" spans="1:4" x14ac:dyDescent="0.25">
      <c r="A399">
        <v>100175</v>
      </c>
      <c r="B399" s="17">
        <v>7023463</v>
      </c>
      <c r="C399" s="1">
        <v>46041</v>
      </c>
      <c r="D399">
        <v>3</v>
      </c>
    </row>
    <row r="400" spans="1:4" x14ac:dyDescent="0.25">
      <c r="A400">
        <v>100174</v>
      </c>
      <c r="B400" s="17">
        <v>8405468</v>
      </c>
      <c r="C400" s="1">
        <v>46041</v>
      </c>
      <c r="D400">
        <v>1</v>
      </c>
    </row>
    <row r="401" spans="1:4" x14ac:dyDescent="0.25">
      <c r="A401">
        <v>100175</v>
      </c>
      <c r="B401" s="17">
        <v>8405468</v>
      </c>
      <c r="C401" s="1">
        <v>46041</v>
      </c>
      <c r="D401">
        <v>1</v>
      </c>
    </row>
    <row r="402" spans="1:4" x14ac:dyDescent="0.25">
      <c r="A402">
        <v>100175</v>
      </c>
      <c r="B402" s="17">
        <v>8860153</v>
      </c>
      <c r="C402" s="1">
        <v>46041</v>
      </c>
      <c r="D402">
        <v>1</v>
      </c>
    </row>
    <row r="403" spans="1:4" x14ac:dyDescent="0.25">
      <c r="A403">
        <v>100179</v>
      </c>
      <c r="B403" s="17">
        <v>1253167</v>
      </c>
      <c r="C403" s="1">
        <v>46042</v>
      </c>
      <c r="D403">
        <v>1</v>
      </c>
    </row>
    <row r="404" spans="1:4" x14ac:dyDescent="0.25">
      <c r="A404">
        <v>100181</v>
      </c>
      <c r="B404" s="17">
        <v>1253167</v>
      </c>
      <c r="C404" s="1">
        <v>46042</v>
      </c>
      <c r="D404">
        <v>1</v>
      </c>
    </row>
    <row r="405" spans="1:4" x14ac:dyDescent="0.25">
      <c r="A405">
        <v>100179</v>
      </c>
      <c r="B405" s="17">
        <v>1331817</v>
      </c>
      <c r="C405" s="1">
        <v>46042</v>
      </c>
      <c r="D405">
        <v>1</v>
      </c>
    </row>
    <row r="406" spans="1:4" x14ac:dyDescent="0.25">
      <c r="A406">
        <v>100181</v>
      </c>
      <c r="B406" s="17">
        <v>1331817</v>
      </c>
      <c r="C406" s="1">
        <v>46042</v>
      </c>
      <c r="D406">
        <v>1</v>
      </c>
    </row>
    <row r="407" spans="1:4" x14ac:dyDescent="0.25">
      <c r="A407">
        <v>100180</v>
      </c>
      <c r="B407" s="17">
        <v>1711217</v>
      </c>
      <c r="C407" s="1">
        <v>46042</v>
      </c>
      <c r="D407">
        <v>3</v>
      </c>
    </row>
    <row r="408" spans="1:4" x14ac:dyDescent="0.25">
      <c r="A408">
        <v>100182</v>
      </c>
      <c r="B408" s="17">
        <v>1711217</v>
      </c>
      <c r="C408" s="1">
        <v>46042</v>
      </c>
      <c r="D408">
        <v>5</v>
      </c>
    </row>
    <row r="409" spans="1:4" x14ac:dyDescent="0.25">
      <c r="A409">
        <v>100182</v>
      </c>
      <c r="B409" s="17">
        <v>2732499</v>
      </c>
      <c r="C409" s="1">
        <v>46042</v>
      </c>
      <c r="D409">
        <v>2</v>
      </c>
    </row>
    <row r="410" spans="1:4" x14ac:dyDescent="0.25">
      <c r="A410">
        <v>100181</v>
      </c>
      <c r="B410" s="17">
        <v>6334728</v>
      </c>
      <c r="C410" s="1">
        <v>46042</v>
      </c>
      <c r="D410">
        <v>2</v>
      </c>
    </row>
    <row r="411" spans="1:4" x14ac:dyDescent="0.25">
      <c r="A411">
        <v>100181</v>
      </c>
      <c r="B411" s="17">
        <v>7023463</v>
      </c>
      <c r="C411" s="1">
        <v>46042</v>
      </c>
      <c r="D411">
        <v>2</v>
      </c>
    </row>
    <row r="412" spans="1:4" x14ac:dyDescent="0.25">
      <c r="A412">
        <v>100176</v>
      </c>
      <c r="B412" s="17">
        <v>7165581</v>
      </c>
      <c r="C412" s="1">
        <v>46042</v>
      </c>
      <c r="D412">
        <v>1</v>
      </c>
    </row>
    <row r="413" spans="1:4" x14ac:dyDescent="0.25">
      <c r="A413">
        <v>100177</v>
      </c>
      <c r="B413" s="17">
        <v>7165581</v>
      </c>
      <c r="C413" s="1">
        <v>46042</v>
      </c>
      <c r="D413">
        <v>1</v>
      </c>
    </row>
    <row r="414" spans="1:4" x14ac:dyDescent="0.25">
      <c r="A414">
        <v>100178</v>
      </c>
      <c r="B414" s="17">
        <v>9292315</v>
      </c>
      <c r="C414" s="1">
        <v>46042</v>
      </c>
      <c r="D414">
        <v>1</v>
      </c>
    </row>
    <row r="415" spans="1:4" x14ac:dyDescent="0.25">
      <c r="A415">
        <v>100180</v>
      </c>
      <c r="B415" s="17">
        <v>9292315</v>
      </c>
      <c r="C415" s="1">
        <v>46042</v>
      </c>
      <c r="D415">
        <v>2</v>
      </c>
    </row>
    <row r="416" spans="1:4" x14ac:dyDescent="0.25">
      <c r="A416">
        <v>100188</v>
      </c>
      <c r="B416" s="17">
        <v>1711217</v>
      </c>
      <c r="C416" s="1">
        <v>46043</v>
      </c>
      <c r="D416">
        <v>1</v>
      </c>
    </row>
    <row r="417" spans="1:4" x14ac:dyDescent="0.25">
      <c r="A417">
        <v>100189</v>
      </c>
      <c r="B417" s="17">
        <v>1711217</v>
      </c>
      <c r="C417" s="1">
        <v>46043</v>
      </c>
      <c r="D417">
        <v>1</v>
      </c>
    </row>
    <row r="418" spans="1:4" x14ac:dyDescent="0.25">
      <c r="A418">
        <v>100190</v>
      </c>
      <c r="B418" s="17">
        <v>1711217</v>
      </c>
      <c r="C418" s="1">
        <v>46043</v>
      </c>
      <c r="D418">
        <v>1</v>
      </c>
    </row>
    <row r="419" spans="1:4" x14ac:dyDescent="0.25">
      <c r="A419">
        <v>100185</v>
      </c>
      <c r="B419" s="17">
        <v>2732499</v>
      </c>
      <c r="C419" s="1">
        <v>46043</v>
      </c>
      <c r="D419">
        <v>1</v>
      </c>
    </row>
    <row r="420" spans="1:4" x14ac:dyDescent="0.25">
      <c r="A420">
        <v>100186</v>
      </c>
      <c r="B420" s="17">
        <v>2732499</v>
      </c>
      <c r="C420" s="1">
        <v>46043</v>
      </c>
      <c r="D420">
        <v>1</v>
      </c>
    </row>
    <row r="421" spans="1:4" x14ac:dyDescent="0.25">
      <c r="A421">
        <v>100187</v>
      </c>
      <c r="B421" s="17">
        <v>2732499</v>
      </c>
      <c r="C421" s="1">
        <v>46043</v>
      </c>
      <c r="D421">
        <v>1</v>
      </c>
    </row>
    <row r="422" spans="1:4" x14ac:dyDescent="0.25">
      <c r="A422">
        <v>100188</v>
      </c>
      <c r="B422" s="17">
        <v>2858379</v>
      </c>
      <c r="C422" s="1">
        <v>46043</v>
      </c>
      <c r="D422">
        <v>1</v>
      </c>
    </row>
    <row r="423" spans="1:4" x14ac:dyDescent="0.25">
      <c r="A423">
        <v>100189</v>
      </c>
      <c r="B423" s="17">
        <v>2858379</v>
      </c>
      <c r="C423" s="1">
        <v>46043</v>
      </c>
      <c r="D423">
        <v>2</v>
      </c>
    </row>
    <row r="424" spans="1:4" x14ac:dyDescent="0.25">
      <c r="A424">
        <v>100185</v>
      </c>
      <c r="B424" s="17">
        <v>6334728</v>
      </c>
      <c r="C424" s="1">
        <v>46043</v>
      </c>
      <c r="D424">
        <v>1</v>
      </c>
    </row>
    <row r="425" spans="1:4" x14ac:dyDescent="0.25">
      <c r="A425">
        <v>100183</v>
      </c>
      <c r="B425" s="17">
        <v>6825224</v>
      </c>
      <c r="C425" s="1">
        <v>46043</v>
      </c>
      <c r="D425">
        <v>1</v>
      </c>
    </row>
    <row r="426" spans="1:4" x14ac:dyDescent="0.25">
      <c r="A426">
        <v>100186</v>
      </c>
      <c r="B426" s="17">
        <v>6825224</v>
      </c>
      <c r="C426" s="1">
        <v>46043</v>
      </c>
      <c r="D426">
        <v>1</v>
      </c>
    </row>
    <row r="427" spans="1:4" x14ac:dyDescent="0.25">
      <c r="A427">
        <v>100187</v>
      </c>
      <c r="B427" s="17">
        <v>6825224</v>
      </c>
      <c r="C427" s="1">
        <v>46043</v>
      </c>
      <c r="D427">
        <v>2</v>
      </c>
    </row>
    <row r="428" spans="1:4" x14ac:dyDescent="0.25">
      <c r="A428">
        <v>100188</v>
      </c>
      <c r="B428" s="17">
        <v>7023463</v>
      </c>
      <c r="C428" s="1">
        <v>46043</v>
      </c>
      <c r="D428">
        <v>1</v>
      </c>
    </row>
    <row r="429" spans="1:4" x14ac:dyDescent="0.25">
      <c r="A429">
        <v>100189</v>
      </c>
      <c r="B429" s="17">
        <v>7023463</v>
      </c>
      <c r="C429" s="1">
        <v>46043</v>
      </c>
      <c r="D429">
        <v>1</v>
      </c>
    </row>
    <row r="430" spans="1:4" x14ac:dyDescent="0.25">
      <c r="A430">
        <v>100184</v>
      </c>
      <c r="B430" s="17">
        <v>8405468</v>
      </c>
      <c r="C430" s="1">
        <v>46043</v>
      </c>
      <c r="D430">
        <v>2</v>
      </c>
    </row>
    <row r="431" spans="1:4" x14ac:dyDescent="0.25">
      <c r="A431">
        <v>100190</v>
      </c>
      <c r="B431" s="17">
        <v>9292315</v>
      </c>
      <c r="C431" s="1">
        <v>46043</v>
      </c>
      <c r="D431">
        <v>4</v>
      </c>
    </row>
    <row r="432" spans="1:4" x14ac:dyDescent="0.25">
      <c r="A432">
        <v>100193</v>
      </c>
      <c r="B432" s="17">
        <v>1088638</v>
      </c>
      <c r="C432" s="1">
        <v>46044</v>
      </c>
      <c r="D432">
        <v>1</v>
      </c>
    </row>
    <row r="433" spans="1:4" x14ac:dyDescent="0.25">
      <c r="A433">
        <v>100194</v>
      </c>
      <c r="B433" s="17">
        <v>1088638</v>
      </c>
      <c r="C433" s="1">
        <v>46044</v>
      </c>
      <c r="D433">
        <v>1</v>
      </c>
    </row>
    <row r="434" spans="1:4" x14ac:dyDescent="0.25">
      <c r="A434">
        <v>100195</v>
      </c>
      <c r="B434" s="17">
        <v>1711217</v>
      </c>
      <c r="C434" s="1">
        <v>46044</v>
      </c>
      <c r="D434">
        <v>1</v>
      </c>
    </row>
    <row r="435" spans="1:4" x14ac:dyDescent="0.25">
      <c r="A435">
        <v>100192</v>
      </c>
      <c r="B435" s="17">
        <v>2732499</v>
      </c>
      <c r="C435" s="1">
        <v>46044</v>
      </c>
      <c r="D435">
        <v>1</v>
      </c>
    </row>
    <row r="436" spans="1:4" x14ac:dyDescent="0.25">
      <c r="A436">
        <v>100194</v>
      </c>
      <c r="B436" s="17">
        <v>2732499</v>
      </c>
      <c r="C436" s="1">
        <v>46044</v>
      </c>
      <c r="D436">
        <v>2</v>
      </c>
    </row>
    <row r="437" spans="1:4" x14ac:dyDescent="0.25">
      <c r="A437">
        <v>100196</v>
      </c>
      <c r="B437" s="17">
        <v>2732499</v>
      </c>
      <c r="C437" s="1">
        <v>46044</v>
      </c>
      <c r="D437">
        <v>2</v>
      </c>
    </row>
    <row r="438" spans="1:4" x14ac:dyDescent="0.25">
      <c r="A438">
        <v>100196</v>
      </c>
      <c r="B438" s="17">
        <v>6828260</v>
      </c>
      <c r="C438" s="1">
        <v>46044</v>
      </c>
      <c r="D438">
        <v>2</v>
      </c>
    </row>
    <row r="439" spans="1:4" x14ac:dyDescent="0.25">
      <c r="A439">
        <v>100195</v>
      </c>
      <c r="B439" s="17">
        <v>7023463</v>
      </c>
      <c r="C439" s="1">
        <v>46044</v>
      </c>
      <c r="D439">
        <v>1</v>
      </c>
    </row>
    <row r="440" spans="1:4" x14ac:dyDescent="0.25">
      <c r="A440">
        <v>100192</v>
      </c>
      <c r="B440" s="17">
        <v>7165581</v>
      </c>
      <c r="C440" s="1">
        <v>46044</v>
      </c>
      <c r="D440">
        <v>1</v>
      </c>
    </row>
    <row r="441" spans="1:4" x14ac:dyDescent="0.25">
      <c r="A441">
        <v>100193</v>
      </c>
      <c r="B441" s="17">
        <v>7165581</v>
      </c>
      <c r="C441" s="1">
        <v>46044</v>
      </c>
      <c r="D441">
        <v>1</v>
      </c>
    </row>
    <row r="442" spans="1:4" x14ac:dyDescent="0.25">
      <c r="A442">
        <v>100195</v>
      </c>
      <c r="B442" s="17">
        <v>7165581</v>
      </c>
      <c r="C442" s="1">
        <v>46044</v>
      </c>
      <c r="D442">
        <v>3</v>
      </c>
    </row>
    <row r="443" spans="1:4" x14ac:dyDescent="0.25">
      <c r="A443">
        <v>100196</v>
      </c>
      <c r="B443" s="17">
        <v>8306905</v>
      </c>
      <c r="C443" s="1">
        <v>46044</v>
      </c>
      <c r="D443">
        <v>2</v>
      </c>
    </row>
    <row r="444" spans="1:4" x14ac:dyDescent="0.25">
      <c r="A444">
        <v>100191</v>
      </c>
      <c r="B444" s="17">
        <v>8405468</v>
      </c>
      <c r="C444" s="1">
        <v>46044</v>
      </c>
      <c r="D444">
        <v>1</v>
      </c>
    </row>
    <row r="445" spans="1:4" x14ac:dyDescent="0.25">
      <c r="A445">
        <v>100192</v>
      </c>
      <c r="B445" s="17">
        <v>8551457</v>
      </c>
      <c r="C445" s="1">
        <v>46044</v>
      </c>
      <c r="D445">
        <v>1</v>
      </c>
    </row>
    <row r="446" spans="1:4" x14ac:dyDescent="0.25">
      <c r="A446">
        <v>100191</v>
      </c>
      <c r="B446" s="17">
        <v>9292315</v>
      </c>
      <c r="C446" s="1">
        <v>46044</v>
      </c>
      <c r="D446">
        <v>1</v>
      </c>
    </row>
    <row r="447" spans="1:4" x14ac:dyDescent="0.25">
      <c r="A447">
        <v>100193</v>
      </c>
      <c r="B447" s="17">
        <v>9292315</v>
      </c>
      <c r="C447" s="1">
        <v>46044</v>
      </c>
      <c r="D447">
        <v>1</v>
      </c>
    </row>
    <row r="448" spans="1:4" x14ac:dyDescent="0.25">
      <c r="A448">
        <v>100194</v>
      </c>
      <c r="B448" s="17">
        <v>9292315</v>
      </c>
      <c r="C448" s="1">
        <v>46044</v>
      </c>
      <c r="D448">
        <v>1</v>
      </c>
    </row>
    <row r="449" spans="1:4" x14ac:dyDescent="0.25">
      <c r="A449">
        <v>100205</v>
      </c>
      <c r="B449" s="17">
        <v>1088638</v>
      </c>
      <c r="C449" s="1">
        <v>46045</v>
      </c>
      <c r="D449">
        <v>1</v>
      </c>
    </row>
    <row r="450" spans="1:4" x14ac:dyDescent="0.25">
      <c r="A450">
        <v>100211</v>
      </c>
      <c r="B450" s="17">
        <v>1088638</v>
      </c>
      <c r="C450" s="1">
        <v>46045</v>
      </c>
      <c r="D450">
        <v>2</v>
      </c>
    </row>
    <row r="451" spans="1:4" x14ac:dyDescent="0.25">
      <c r="A451">
        <v>100203</v>
      </c>
      <c r="B451" s="17">
        <v>1253167</v>
      </c>
      <c r="C451" s="1">
        <v>46045</v>
      </c>
      <c r="D451">
        <v>1</v>
      </c>
    </row>
    <row r="452" spans="1:4" x14ac:dyDescent="0.25">
      <c r="A452">
        <v>100198</v>
      </c>
      <c r="B452" s="17">
        <v>1331817</v>
      </c>
      <c r="C452" s="1">
        <v>46045</v>
      </c>
      <c r="D452">
        <v>1</v>
      </c>
    </row>
    <row r="453" spans="1:4" x14ac:dyDescent="0.25">
      <c r="A453">
        <v>100204</v>
      </c>
      <c r="B453" s="17">
        <v>1331817</v>
      </c>
      <c r="C453" s="1">
        <v>46045</v>
      </c>
      <c r="D453">
        <v>1</v>
      </c>
    </row>
    <row r="454" spans="1:4" x14ac:dyDescent="0.25">
      <c r="A454">
        <v>100206</v>
      </c>
      <c r="B454" s="17">
        <v>1331817</v>
      </c>
      <c r="C454" s="1">
        <v>46045</v>
      </c>
      <c r="D454">
        <v>2</v>
      </c>
    </row>
    <row r="455" spans="1:4" x14ac:dyDescent="0.25">
      <c r="A455">
        <v>100207</v>
      </c>
      <c r="B455" s="17">
        <v>1711217</v>
      </c>
      <c r="C455" s="1">
        <v>46045</v>
      </c>
      <c r="D455">
        <v>1</v>
      </c>
    </row>
    <row r="456" spans="1:4" x14ac:dyDescent="0.25">
      <c r="A456">
        <v>100212</v>
      </c>
      <c r="B456" s="17">
        <v>1711217</v>
      </c>
      <c r="C456" s="1">
        <v>46045</v>
      </c>
      <c r="D456">
        <v>1</v>
      </c>
    </row>
    <row r="457" spans="1:4" x14ac:dyDescent="0.25">
      <c r="A457">
        <v>100209</v>
      </c>
      <c r="B457" s="17">
        <v>4255235</v>
      </c>
      <c r="C457" s="1">
        <v>46045</v>
      </c>
      <c r="D457">
        <v>2</v>
      </c>
    </row>
    <row r="458" spans="1:4" x14ac:dyDescent="0.25">
      <c r="A458">
        <v>100197</v>
      </c>
      <c r="B458" s="17">
        <v>6334728</v>
      </c>
      <c r="C458" s="1">
        <v>46045</v>
      </c>
      <c r="D458">
        <v>1</v>
      </c>
    </row>
    <row r="459" spans="1:4" x14ac:dyDescent="0.25">
      <c r="A459">
        <v>100199</v>
      </c>
      <c r="B459" s="17">
        <v>6334728</v>
      </c>
      <c r="C459" s="1">
        <v>46045</v>
      </c>
      <c r="D459">
        <v>1</v>
      </c>
    </row>
    <row r="460" spans="1:4" x14ac:dyDescent="0.25">
      <c r="A460">
        <v>100201</v>
      </c>
      <c r="B460" s="17">
        <v>6341525</v>
      </c>
      <c r="C460" s="1">
        <v>46045</v>
      </c>
      <c r="D460">
        <v>1</v>
      </c>
    </row>
    <row r="461" spans="1:4" x14ac:dyDescent="0.25">
      <c r="A461">
        <v>100203</v>
      </c>
      <c r="B461" s="17">
        <v>6825224</v>
      </c>
      <c r="C461" s="1">
        <v>46045</v>
      </c>
      <c r="D461">
        <v>1</v>
      </c>
    </row>
    <row r="462" spans="1:4" x14ac:dyDescent="0.25">
      <c r="A462">
        <v>100206</v>
      </c>
      <c r="B462" s="17">
        <v>6825224</v>
      </c>
      <c r="C462" s="1">
        <v>46045</v>
      </c>
      <c r="D462">
        <v>1</v>
      </c>
    </row>
    <row r="463" spans="1:4" x14ac:dyDescent="0.25">
      <c r="A463">
        <v>100207</v>
      </c>
      <c r="B463" s="17">
        <v>6825224</v>
      </c>
      <c r="C463" s="1">
        <v>46045</v>
      </c>
      <c r="D463">
        <v>1</v>
      </c>
    </row>
    <row r="464" spans="1:4" x14ac:dyDescent="0.25">
      <c r="A464">
        <v>100210</v>
      </c>
      <c r="B464" s="17">
        <v>6825224</v>
      </c>
      <c r="C464" s="1">
        <v>46045</v>
      </c>
      <c r="D464">
        <v>1</v>
      </c>
    </row>
    <row r="465" spans="1:4" x14ac:dyDescent="0.25">
      <c r="A465">
        <v>100212</v>
      </c>
      <c r="B465" s="17">
        <v>6825224</v>
      </c>
      <c r="C465" s="1">
        <v>46045</v>
      </c>
      <c r="D465">
        <v>4</v>
      </c>
    </row>
    <row r="466" spans="1:4" x14ac:dyDescent="0.25">
      <c r="A466">
        <v>100205</v>
      </c>
      <c r="B466" s="17">
        <v>7165581</v>
      </c>
      <c r="C466" s="1">
        <v>46045</v>
      </c>
      <c r="D466">
        <v>2</v>
      </c>
    </row>
    <row r="467" spans="1:4" x14ac:dyDescent="0.25">
      <c r="A467">
        <v>100208</v>
      </c>
      <c r="B467" s="17">
        <v>7165581</v>
      </c>
      <c r="C467" s="1">
        <v>46045</v>
      </c>
      <c r="D467">
        <v>1</v>
      </c>
    </row>
    <row r="468" spans="1:4" x14ac:dyDescent="0.25">
      <c r="A468">
        <v>100211</v>
      </c>
      <c r="B468" s="17">
        <v>7165581</v>
      </c>
      <c r="C468" s="1">
        <v>46045</v>
      </c>
      <c r="D468">
        <v>1</v>
      </c>
    </row>
    <row r="469" spans="1:4" x14ac:dyDescent="0.25">
      <c r="A469">
        <v>100202</v>
      </c>
      <c r="B469" s="17">
        <v>7747619</v>
      </c>
      <c r="C469" s="1">
        <v>46045</v>
      </c>
      <c r="D469">
        <v>2</v>
      </c>
    </row>
    <row r="470" spans="1:4" x14ac:dyDescent="0.25">
      <c r="A470">
        <v>100208</v>
      </c>
      <c r="B470" s="17">
        <v>7747619</v>
      </c>
      <c r="C470" s="1">
        <v>46045</v>
      </c>
      <c r="D470">
        <v>1</v>
      </c>
    </row>
    <row r="471" spans="1:4" x14ac:dyDescent="0.25">
      <c r="A471">
        <v>100207</v>
      </c>
      <c r="B471" s="17">
        <v>7944400</v>
      </c>
      <c r="C471" s="1">
        <v>46045</v>
      </c>
      <c r="D471">
        <v>1</v>
      </c>
    </row>
    <row r="472" spans="1:4" x14ac:dyDescent="0.25">
      <c r="A472">
        <v>100212</v>
      </c>
      <c r="B472" s="17">
        <v>8306905</v>
      </c>
      <c r="C472" s="1">
        <v>46045</v>
      </c>
      <c r="D472">
        <v>1</v>
      </c>
    </row>
    <row r="473" spans="1:4" x14ac:dyDescent="0.25">
      <c r="A473">
        <v>100200</v>
      </c>
      <c r="B473" s="17">
        <v>8405468</v>
      </c>
      <c r="C473" s="1">
        <v>46045</v>
      </c>
      <c r="D473">
        <v>1</v>
      </c>
    </row>
    <row r="474" spans="1:4" x14ac:dyDescent="0.25">
      <c r="A474">
        <v>100209</v>
      </c>
      <c r="B474" s="17">
        <v>8405468</v>
      </c>
      <c r="C474" s="1">
        <v>46045</v>
      </c>
      <c r="D474">
        <v>2</v>
      </c>
    </row>
    <row r="475" spans="1:4" x14ac:dyDescent="0.25">
      <c r="A475">
        <v>100210</v>
      </c>
      <c r="B475" s="17">
        <v>8405468</v>
      </c>
      <c r="C475" s="1">
        <v>46045</v>
      </c>
      <c r="D475">
        <v>3</v>
      </c>
    </row>
    <row r="476" spans="1:4" x14ac:dyDescent="0.25">
      <c r="A476">
        <v>100204</v>
      </c>
      <c r="B476" s="17">
        <v>8551457</v>
      </c>
      <c r="C476" s="1">
        <v>46045</v>
      </c>
      <c r="D476">
        <v>1</v>
      </c>
    </row>
    <row r="477" spans="1:4" x14ac:dyDescent="0.25">
      <c r="A477">
        <v>100212</v>
      </c>
      <c r="B477" s="17">
        <v>8860153</v>
      </c>
      <c r="C477" s="1">
        <v>46045</v>
      </c>
      <c r="D477">
        <v>1</v>
      </c>
    </row>
    <row r="478" spans="1:4" x14ac:dyDescent="0.25">
      <c r="A478">
        <v>100208</v>
      </c>
      <c r="B478" s="17">
        <v>9292315</v>
      </c>
      <c r="C478" s="1">
        <v>46045</v>
      </c>
      <c r="D478">
        <v>1</v>
      </c>
    </row>
    <row r="479" spans="1:4" x14ac:dyDescent="0.25">
      <c r="A479">
        <v>100211</v>
      </c>
      <c r="B479" s="17">
        <v>9292315</v>
      </c>
      <c r="C479" s="1">
        <v>46045</v>
      </c>
      <c r="D479">
        <v>1</v>
      </c>
    </row>
    <row r="480" spans="1:4" x14ac:dyDescent="0.25">
      <c r="A480">
        <v>100225</v>
      </c>
      <c r="B480" s="17">
        <v>1088638</v>
      </c>
      <c r="C480" s="1">
        <v>46046</v>
      </c>
      <c r="D480">
        <v>3</v>
      </c>
    </row>
    <row r="481" spans="1:4" x14ac:dyDescent="0.25">
      <c r="A481">
        <v>100227</v>
      </c>
      <c r="B481" s="17">
        <v>1088638</v>
      </c>
      <c r="C481" s="1">
        <v>46046</v>
      </c>
      <c r="D481">
        <v>1</v>
      </c>
    </row>
    <row r="482" spans="1:4" x14ac:dyDescent="0.25">
      <c r="A482">
        <v>100217</v>
      </c>
      <c r="B482" s="17">
        <v>1253167</v>
      </c>
      <c r="C482" s="1">
        <v>46046</v>
      </c>
      <c r="D482">
        <v>1</v>
      </c>
    </row>
    <row r="483" spans="1:4" x14ac:dyDescent="0.25">
      <c r="A483">
        <v>100221</v>
      </c>
      <c r="B483" s="17">
        <v>1253167</v>
      </c>
      <c r="C483" s="1">
        <v>46046</v>
      </c>
      <c r="D483">
        <v>1</v>
      </c>
    </row>
    <row r="484" spans="1:4" x14ac:dyDescent="0.25">
      <c r="A484">
        <v>100222</v>
      </c>
      <c r="B484" s="17">
        <v>1253167</v>
      </c>
      <c r="C484" s="1">
        <v>46046</v>
      </c>
      <c r="D484">
        <v>2</v>
      </c>
    </row>
    <row r="485" spans="1:4" x14ac:dyDescent="0.25">
      <c r="A485">
        <v>100216</v>
      </c>
      <c r="B485" s="17">
        <v>1711217</v>
      </c>
      <c r="C485" s="1">
        <v>46046</v>
      </c>
      <c r="D485">
        <v>1</v>
      </c>
    </row>
    <row r="486" spans="1:4" x14ac:dyDescent="0.25">
      <c r="A486">
        <v>100221</v>
      </c>
      <c r="B486" s="17">
        <v>1711217</v>
      </c>
      <c r="C486" s="1">
        <v>46046</v>
      </c>
      <c r="D486">
        <v>2</v>
      </c>
    </row>
    <row r="487" spans="1:4" x14ac:dyDescent="0.25">
      <c r="A487">
        <v>100226</v>
      </c>
      <c r="B487" s="17">
        <v>1711217</v>
      </c>
      <c r="C487" s="1">
        <v>46046</v>
      </c>
      <c r="D487">
        <v>1</v>
      </c>
    </row>
    <row r="488" spans="1:4" x14ac:dyDescent="0.25">
      <c r="A488">
        <v>100227</v>
      </c>
      <c r="B488" s="17">
        <v>1711217</v>
      </c>
      <c r="C488" s="1">
        <v>46046</v>
      </c>
      <c r="D488">
        <v>3</v>
      </c>
    </row>
    <row r="489" spans="1:4" x14ac:dyDescent="0.25">
      <c r="A489">
        <v>100215</v>
      </c>
      <c r="B489" s="17">
        <v>2732499</v>
      </c>
      <c r="C489" s="1">
        <v>46046</v>
      </c>
      <c r="D489">
        <v>1</v>
      </c>
    </row>
    <row r="490" spans="1:4" x14ac:dyDescent="0.25">
      <c r="A490">
        <v>100219</v>
      </c>
      <c r="B490" s="17">
        <v>2732499</v>
      </c>
      <c r="C490" s="1">
        <v>46046</v>
      </c>
      <c r="D490">
        <v>1</v>
      </c>
    </row>
    <row r="491" spans="1:4" x14ac:dyDescent="0.25">
      <c r="A491">
        <v>100220</v>
      </c>
      <c r="B491" s="17">
        <v>2732499</v>
      </c>
      <c r="C491" s="1">
        <v>46046</v>
      </c>
      <c r="D491">
        <v>1</v>
      </c>
    </row>
    <row r="492" spans="1:4" x14ac:dyDescent="0.25">
      <c r="A492">
        <v>100223</v>
      </c>
      <c r="B492" s="17">
        <v>2732499</v>
      </c>
      <c r="C492" s="1">
        <v>46046</v>
      </c>
      <c r="D492">
        <v>2</v>
      </c>
    </row>
    <row r="493" spans="1:4" x14ac:dyDescent="0.25">
      <c r="A493">
        <v>100225</v>
      </c>
      <c r="B493" s="17">
        <v>2858379</v>
      </c>
      <c r="C493" s="1">
        <v>46046</v>
      </c>
      <c r="D493">
        <v>1</v>
      </c>
    </row>
    <row r="494" spans="1:4" x14ac:dyDescent="0.25">
      <c r="A494">
        <v>100226</v>
      </c>
      <c r="B494" s="17">
        <v>2982488</v>
      </c>
      <c r="C494" s="1">
        <v>46046</v>
      </c>
      <c r="D494">
        <v>3</v>
      </c>
    </row>
    <row r="495" spans="1:4" x14ac:dyDescent="0.25">
      <c r="A495">
        <v>100223</v>
      </c>
      <c r="B495" s="17">
        <v>6334728</v>
      </c>
      <c r="C495" s="1">
        <v>46046</v>
      </c>
      <c r="D495">
        <v>1</v>
      </c>
    </row>
    <row r="496" spans="1:4" x14ac:dyDescent="0.25">
      <c r="A496">
        <v>100224</v>
      </c>
      <c r="B496" s="17">
        <v>6334728</v>
      </c>
      <c r="C496" s="1">
        <v>46046</v>
      </c>
      <c r="D496">
        <v>4</v>
      </c>
    </row>
    <row r="497" spans="1:4" x14ac:dyDescent="0.25">
      <c r="A497">
        <v>100227</v>
      </c>
      <c r="B497" s="17">
        <v>6334728</v>
      </c>
      <c r="C497" s="1">
        <v>46046</v>
      </c>
      <c r="D497">
        <v>1</v>
      </c>
    </row>
    <row r="498" spans="1:4" x14ac:dyDescent="0.25">
      <c r="A498">
        <v>100213</v>
      </c>
      <c r="B498" s="17">
        <v>8405468</v>
      </c>
      <c r="C498" s="1">
        <v>46046</v>
      </c>
      <c r="D498">
        <v>1</v>
      </c>
    </row>
    <row r="499" spans="1:4" x14ac:dyDescent="0.25">
      <c r="A499">
        <v>100218</v>
      </c>
      <c r="B499" s="17">
        <v>8405468</v>
      </c>
      <c r="C499" s="1">
        <v>46046</v>
      </c>
      <c r="D499">
        <v>1</v>
      </c>
    </row>
    <row r="500" spans="1:4" x14ac:dyDescent="0.25">
      <c r="A500">
        <v>100219</v>
      </c>
      <c r="B500" s="17">
        <v>8405468</v>
      </c>
      <c r="C500" s="1">
        <v>46046</v>
      </c>
      <c r="D500">
        <v>1</v>
      </c>
    </row>
    <row r="501" spans="1:4" x14ac:dyDescent="0.25">
      <c r="A501">
        <v>100220</v>
      </c>
      <c r="B501" s="17">
        <v>8405468</v>
      </c>
      <c r="C501" s="1">
        <v>46046</v>
      </c>
      <c r="D501">
        <v>1</v>
      </c>
    </row>
    <row r="502" spans="1:4" x14ac:dyDescent="0.25">
      <c r="A502">
        <v>100222</v>
      </c>
      <c r="B502" s="17">
        <v>8405468</v>
      </c>
      <c r="C502" s="1">
        <v>46046</v>
      </c>
      <c r="D502">
        <v>1</v>
      </c>
    </row>
    <row r="503" spans="1:4" x14ac:dyDescent="0.25">
      <c r="A503">
        <v>100226</v>
      </c>
      <c r="B503" s="17">
        <v>8405468</v>
      </c>
      <c r="C503" s="1">
        <v>46046</v>
      </c>
      <c r="D503">
        <v>1</v>
      </c>
    </row>
    <row r="504" spans="1:4" x14ac:dyDescent="0.25">
      <c r="A504">
        <v>100214</v>
      </c>
      <c r="B504" s="17">
        <v>9292315</v>
      </c>
      <c r="C504" s="1">
        <v>46046</v>
      </c>
      <c r="D504">
        <v>1</v>
      </c>
    </row>
    <row r="505" spans="1:4" x14ac:dyDescent="0.25">
      <c r="A505">
        <v>100231</v>
      </c>
      <c r="B505" s="17">
        <v>1088638</v>
      </c>
      <c r="C505" s="1">
        <v>46047</v>
      </c>
      <c r="D505">
        <v>2</v>
      </c>
    </row>
    <row r="506" spans="1:4" x14ac:dyDescent="0.25">
      <c r="A506">
        <v>100232</v>
      </c>
      <c r="B506" s="17">
        <v>1088638</v>
      </c>
      <c r="C506" s="1">
        <v>46047</v>
      </c>
      <c r="D506">
        <v>2</v>
      </c>
    </row>
    <row r="507" spans="1:4" x14ac:dyDescent="0.25">
      <c r="A507">
        <v>100230</v>
      </c>
      <c r="B507" s="17">
        <v>1253167</v>
      </c>
      <c r="C507" s="1">
        <v>46047</v>
      </c>
      <c r="D507">
        <v>1</v>
      </c>
    </row>
    <row r="508" spans="1:4" x14ac:dyDescent="0.25">
      <c r="A508">
        <v>100231</v>
      </c>
      <c r="B508" s="17">
        <v>1253167</v>
      </c>
      <c r="C508" s="1">
        <v>46047</v>
      </c>
      <c r="D508">
        <v>1</v>
      </c>
    </row>
    <row r="509" spans="1:4" x14ac:dyDescent="0.25">
      <c r="A509">
        <v>100232</v>
      </c>
      <c r="B509" s="17">
        <v>1711217</v>
      </c>
      <c r="C509" s="1">
        <v>46047</v>
      </c>
      <c r="D509">
        <v>1</v>
      </c>
    </row>
    <row r="510" spans="1:4" x14ac:dyDescent="0.25">
      <c r="A510">
        <v>100228</v>
      </c>
      <c r="B510" s="17">
        <v>2424707</v>
      </c>
      <c r="C510" s="1">
        <v>46047</v>
      </c>
      <c r="D510">
        <v>1</v>
      </c>
    </row>
    <row r="511" spans="1:4" x14ac:dyDescent="0.25">
      <c r="A511">
        <v>100229</v>
      </c>
      <c r="B511" s="17">
        <v>2732499</v>
      </c>
      <c r="C511" s="1">
        <v>46047</v>
      </c>
      <c r="D511">
        <v>3</v>
      </c>
    </row>
    <row r="512" spans="1:4" x14ac:dyDescent="0.25">
      <c r="A512">
        <v>100230</v>
      </c>
      <c r="B512" s="17">
        <v>2732499</v>
      </c>
      <c r="C512" s="1">
        <v>46047</v>
      </c>
      <c r="D512">
        <v>1</v>
      </c>
    </row>
    <row r="513" spans="1:4" x14ac:dyDescent="0.25">
      <c r="A513">
        <v>100230</v>
      </c>
      <c r="B513" s="17">
        <v>9044404</v>
      </c>
      <c r="C513" s="1">
        <v>46047</v>
      </c>
      <c r="D513">
        <v>1</v>
      </c>
    </row>
    <row r="514" spans="1:4" x14ac:dyDescent="0.25">
      <c r="A514">
        <v>100231</v>
      </c>
      <c r="B514" s="17">
        <v>9292315</v>
      </c>
      <c r="C514" s="1">
        <v>46047</v>
      </c>
      <c r="D514">
        <v>1</v>
      </c>
    </row>
    <row r="515" spans="1:4" x14ac:dyDescent="0.25">
      <c r="A515">
        <v>100232</v>
      </c>
      <c r="B515" s="17">
        <v>9292315</v>
      </c>
      <c r="C515" s="1">
        <v>46047</v>
      </c>
      <c r="D515">
        <v>1</v>
      </c>
    </row>
    <row r="516" spans="1:4" x14ac:dyDescent="0.25">
      <c r="A516">
        <v>100234</v>
      </c>
      <c r="B516" s="17">
        <v>1088638</v>
      </c>
      <c r="C516" s="1">
        <v>46048</v>
      </c>
      <c r="D516">
        <v>1</v>
      </c>
    </row>
    <row r="517" spans="1:4" x14ac:dyDescent="0.25">
      <c r="A517">
        <v>100235</v>
      </c>
      <c r="B517" s="17">
        <v>1088638</v>
      </c>
      <c r="C517" s="1">
        <v>46048</v>
      </c>
      <c r="D517">
        <v>1</v>
      </c>
    </row>
    <row r="518" spans="1:4" x14ac:dyDescent="0.25">
      <c r="A518">
        <v>100234</v>
      </c>
      <c r="B518" s="17">
        <v>1711217</v>
      </c>
      <c r="C518" s="1">
        <v>46048</v>
      </c>
      <c r="D518">
        <v>1</v>
      </c>
    </row>
    <row r="519" spans="1:4" x14ac:dyDescent="0.25">
      <c r="A519">
        <v>100234</v>
      </c>
      <c r="B519" s="17">
        <v>4255235</v>
      </c>
      <c r="C519" s="1">
        <v>46048</v>
      </c>
      <c r="D519">
        <v>1</v>
      </c>
    </row>
    <row r="520" spans="1:4" x14ac:dyDescent="0.25">
      <c r="A520">
        <v>100235</v>
      </c>
      <c r="B520" s="17">
        <v>4255235</v>
      </c>
      <c r="C520" s="1">
        <v>46048</v>
      </c>
      <c r="D520">
        <v>1</v>
      </c>
    </row>
    <row r="521" spans="1:4" x14ac:dyDescent="0.25">
      <c r="A521">
        <v>100233</v>
      </c>
      <c r="B521" s="17">
        <v>6825224</v>
      </c>
      <c r="C521" s="1">
        <v>46048</v>
      </c>
      <c r="D521">
        <v>1</v>
      </c>
    </row>
    <row r="522" spans="1:4" x14ac:dyDescent="0.25">
      <c r="A522">
        <v>100233</v>
      </c>
      <c r="B522" s="17">
        <v>8405468</v>
      </c>
      <c r="C522" s="1">
        <v>46048</v>
      </c>
      <c r="D522">
        <v>1</v>
      </c>
    </row>
    <row r="523" spans="1:4" x14ac:dyDescent="0.25">
      <c r="A523">
        <v>100235</v>
      </c>
      <c r="B523" s="17">
        <v>8405468</v>
      </c>
      <c r="C523" s="1">
        <v>46048</v>
      </c>
      <c r="D523">
        <v>1</v>
      </c>
    </row>
    <row r="524" spans="1:4" x14ac:dyDescent="0.25">
      <c r="A524">
        <v>100235</v>
      </c>
      <c r="B524" s="17">
        <v>9292315</v>
      </c>
      <c r="C524" s="1">
        <v>46048</v>
      </c>
      <c r="D524">
        <v>1</v>
      </c>
    </row>
    <row r="525" spans="1:4" x14ac:dyDescent="0.25">
      <c r="A525">
        <v>100238</v>
      </c>
      <c r="B525" s="17">
        <v>1088638</v>
      </c>
      <c r="C525" s="1">
        <v>46049</v>
      </c>
      <c r="D525">
        <v>1</v>
      </c>
    </row>
    <row r="526" spans="1:4" x14ac:dyDescent="0.25">
      <c r="A526">
        <v>100238</v>
      </c>
      <c r="B526" s="17">
        <v>1711217</v>
      </c>
      <c r="C526" s="1">
        <v>46049</v>
      </c>
      <c r="D526">
        <v>2</v>
      </c>
    </row>
    <row r="527" spans="1:4" x14ac:dyDescent="0.25">
      <c r="A527">
        <v>100237</v>
      </c>
      <c r="B527" s="17">
        <v>2424707</v>
      </c>
      <c r="C527" s="1">
        <v>46049</v>
      </c>
      <c r="D527">
        <v>1</v>
      </c>
    </row>
    <row r="528" spans="1:4" x14ac:dyDescent="0.25">
      <c r="A528">
        <v>100240</v>
      </c>
      <c r="B528" s="17">
        <v>2732499</v>
      </c>
      <c r="C528" s="1">
        <v>46049</v>
      </c>
      <c r="D528">
        <v>1</v>
      </c>
    </row>
    <row r="529" spans="1:4" x14ac:dyDescent="0.25">
      <c r="A529">
        <v>100239</v>
      </c>
      <c r="B529" s="17">
        <v>6828260</v>
      </c>
      <c r="C529" s="1">
        <v>46049</v>
      </c>
      <c r="D529">
        <v>1</v>
      </c>
    </row>
    <row r="530" spans="1:4" x14ac:dyDescent="0.25">
      <c r="A530">
        <v>100240</v>
      </c>
      <c r="B530" s="17">
        <v>7747619</v>
      </c>
      <c r="C530" s="1">
        <v>46049</v>
      </c>
      <c r="D530">
        <v>1</v>
      </c>
    </row>
    <row r="531" spans="1:4" x14ac:dyDescent="0.25">
      <c r="A531">
        <v>100239</v>
      </c>
      <c r="B531" s="17">
        <v>8306905</v>
      </c>
      <c r="C531" s="1">
        <v>46049</v>
      </c>
      <c r="D531">
        <v>1</v>
      </c>
    </row>
    <row r="532" spans="1:4" x14ac:dyDescent="0.25">
      <c r="A532">
        <v>100239</v>
      </c>
      <c r="B532" s="17">
        <v>8405468</v>
      </c>
      <c r="C532" s="1">
        <v>46049</v>
      </c>
      <c r="D532">
        <v>1</v>
      </c>
    </row>
    <row r="533" spans="1:4" x14ac:dyDescent="0.25">
      <c r="A533">
        <v>100241</v>
      </c>
      <c r="B533" s="17">
        <v>9115955</v>
      </c>
      <c r="C533" s="1">
        <v>46049</v>
      </c>
      <c r="D533">
        <v>1</v>
      </c>
    </row>
    <row r="534" spans="1:4" x14ac:dyDescent="0.25">
      <c r="A534">
        <v>100236</v>
      </c>
      <c r="B534" s="17">
        <v>9292315</v>
      </c>
      <c r="C534" s="1">
        <v>46049</v>
      </c>
      <c r="D534">
        <v>1</v>
      </c>
    </row>
    <row r="535" spans="1:4" x14ac:dyDescent="0.25">
      <c r="A535">
        <v>100237</v>
      </c>
      <c r="B535" s="17">
        <v>9292315</v>
      </c>
      <c r="C535" s="1">
        <v>46049</v>
      </c>
      <c r="D535">
        <v>1</v>
      </c>
    </row>
    <row r="536" spans="1:4" x14ac:dyDescent="0.25">
      <c r="A536">
        <v>100240</v>
      </c>
      <c r="B536" s="17">
        <v>9292315</v>
      </c>
      <c r="C536" s="1">
        <v>46049</v>
      </c>
      <c r="D536">
        <v>1</v>
      </c>
    </row>
    <row r="537" spans="1:4" x14ac:dyDescent="0.25">
      <c r="A537">
        <v>100241</v>
      </c>
      <c r="B537" s="17">
        <v>9292315</v>
      </c>
      <c r="C537" s="1">
        <v>46049</v>
      </c>
      <c r="D537">
        <v>5</v>
      </c>
    </row>
    <row r="538" spans="1:4" x14ac:dyDescent="0.25">
      <c r="A538">
        <v>100245</v>
      </c>
      <c r="B538" s="17">
        <v>2732499</v>
      </c>
      <c r="C538" s="1">
        <v>46050</v>
      </c>
      <c r="D538">
        <v>1</v>
      </c>
    </row>
    <row r="539" spans="1:4" x14ac:dyDescent="0.25">
      <c r="A539">
        <v>100243</v>
      </c>
      <c r="B539" s="17">
        <v>8306905</v>
      </c>
      <c r="C539" s="1">
        <v>46050</v>
      </c>
      <c r="D539">
        <v>1</v>
      </c>
    </row>
    <row r="540" spans="1:4" x14ac:dyDescent="0.25">
      <c r="A540">
        <v>100244</v>
      </c>
      <c r="B540" s="17">
        <v>8405468</v>
      </c>
      <c r="C540" s="1">
        <v>46050</v>
      </c>
      <c r="D540">
        <v>1</v>
      </c>
    </row>
    <row r="541" spans="1:4" x14ac:dyDescent="0.25">
      <c r="A541">
        <v>100245</v>
      </c>
      <c r="B541" s="17">
        <v>8405468</v>
      </c>
      <c r="C541" s="1">
        <v>46050</v>
      </c>
      <c r="D541">
        <v>5</v>
      </c>
    </row>
    <row r="542" spans="1:4" x14ac:dyDescent="0.25">
      <c r="A542">
        <v>100242</v>
      </c>
      <c r="B542" s="17">
        <v>8551457</v>
      </c>
      <c r="C542" s="1">
        <v>46050</v>
      </c>
      <c r="D542">
        <v>1</v>
      </c>
    </row>
    <row r="543" spans="1:4" x14ac:dyDescent="0.25">
      <c r="A543">
        <v>100244</v>
      </c>
      <c r="B543" s="17">
        <v>8551457</v>
      </c>
      <c r="C543" s="1">
        <v>46050</v>
      </c>
      <c r="D543">
        <v>2</v>
      </c>
    </row>
    <row r="544" spans="1:4" x14ac:dyDescent="0.25">
      <c r="A544">
        <v>100242</v>
      </c>
      <c r="B544" s="17">
        <v>9292315</v>
      </c>
      <c r="C544" s="1">
        <v>46050</v>
      </c>
      <c r="D544">
        <v>1</v>
      </c>
    </row>
    <row r="545" spans="1:4" x14ac:dyDescent="0.25">
      <c r="A545">
        <v>100243</v>
      </c>
      <c r="B545" s="17">
        <v>9292315</v>
      </c>
      <c r="C545" s="1">
        <v>46050</v>
      </c>
      <c r="D545">
        <v>1</v>
      </c>
    </row>
    <row r="546" spans="1:4" x14ac:dyDescent="0.25">
      <c r="A546">
        <v>100244</v>
      </c>
      <c r="B546" s="17">
        <v>9292315</v>
      </c>
      <c r="C546" s="1">
        <v>46050</v>
      </c>
      <c r="D546">
        <v>1</v>
      </c>
    </row>
    <row r="547" spans="1:4" x14ac:dyDescent="0.25">
      <c r="A547">
        <v>100248</v>
      </c>
      <c r="B547" s="17">
        <v>1088638</v>
      </c>
      <c r="C547" s="1">
        <v>46051</v>
      </c>
      <c r="D547">
        <v>1</v>
      </c>
    </row>
    <row r="548" spans="1:4" x14ac:dyDescent="0.25">
      <c r="A548">
        <v>100251</v>
      </c>
      <c r="B548" s="17">
        <v>1253167</v>
      </c>
      <c r="C548" s="1">
        <v>46051</v>
      </c>
      <c r="D548">
        <v>1</v>
      </c>
    </row>
    <row r="549" spans="1:4" x14ac:dyDescent="0.25">
      <c r="A549">
        <v>100246</v>
      </c>
      <c r="B549" s="17">
        <v>1331817</v>
      </c>
      <c r="C549" s="1">
        <v>46051</v>
      </c>
      <c r="D549">
        <v>1</v>
      </c>
    </row>
    <row r="550" spans="1:4" x14ac:dyDescent="0.25">
      <c r="A550">
        <v>100247</v>
      </c>
      <c r="B550" s="17">
        <v>1331817</v>
      </c>
      <c r="C550" s="1">
        <v>46051</v>
      </c>
      <c r="D550">
        <v>2</v>
      </c>
    </row>
    <row r="551" spans="1:4" x14ac:dyDescent="0.25">
      <c r="A551">
        <v>100249</v>
      </c>
      <c r="B551" s="17">
        <v>2012714</v>
      </c>
      <c r="C551" s="1">
        <v>46051</v>
      </c>
      <c r="D551">
        <v>1</v>
      </c>
    </row>
    <row r="552" spans="1:4" x14ac:dyDescent="0.25">
      <c r="A552">
        <v>100253</v>
      </c>
      <c r="B552" s="17">
        <v>4255235</v>
      </c>
      <c r="C552" s="1">
        <v>46051</v>
      </c>
      <c r="D552">
        <v>1</v>
      </c>
    </row>
    <row r="553" spans="1:4" x14ac:dyDescent="0.25">
      <c r="A553">
        <v>100251</v>
      </c>
      <c r="B553" s="17">
        <v>5624747</v>
      </c>
      <c r="C553" s="1">
        <v>46051</v>
      </c>
      <c r="D553">
        <v>1</v>
      </c>
    </row>
    <row r="554" spans="1:4" x14ac:dyDescent="0.25">
      <c r="A554">
        <v>100252</v>
      </c>
      <c r="B554" s="17">
        <v>5624747</v>
      </c>
      <c r="C554" s="1">
        <v>46051</v>
      </c>
      <c r="D554">
        <v>1</v>
      </c>
    </row>
    <row r="555" spans="1:4" x14ac:dyDescent="0.25">
      <c r="A555">
        <v>100248</v>
      </c>
      <c r="B555" s="17">
        <v>7165581</v>
      </c>
      <c r="C555" s="1">
        <v>46051</v>
      </c>
      <c r="D555">
        <v>1</v>
      </c>
    </row>
    <row r="556" spans="1:4" x14ac:dyDescent="0.25">
      <c r="A556">
        <v>100249</v>
      </c>
      <c r="B556" s="17">
        <v>7165581</v>
      </c>
      <c r="C556" s="1">
        <v>46051</v>
      </c>
      <c r="D556">
        <v>1</v>
      </c>
    </row>
    <row r="557" spans="1:4" x14ac:dyDescent="0.25">
      <c r="A557">
        <v>100250</v>
      </c>
      <c r="B557" s="17">
        <v>7165581</v>
      </c>
      <c r="C557" s="1">
        <v>46051</v>
      </c>
      <c r="D557">
        <v>2</v>
      </c>
    </row>
    <row r="558" spans="1:4" x14ac:dyDescent="0.25">
      <c r="A558">
        <v>100253</v>
      </c>
      <c r="B558" s="17">
        <v>7165581</v>
      </c>
      <c r="C558" s="1">
        <v>46051</v>
      </c>
      <c r="D558">
        <v>2</v>
      </c>
    </row>
    <row r="559" spans="1:4" x14ac:dyDescent="0.25">
      <c r="A559">
        <v>100250</v>
      </c>
      <c r="B559" s="17">
        <v>8405468</v>
      </c>
      <c r="C559" s="1">
        <v>46051</v>
      </c>
      <c r="D559">
        <v>1</v>
      </c>
    </row>
    <row r="560" spans="1:4" x14ac:dyDescent="0.25">
      <c r="A560">
        <v>100251</v>
      </c>
      <c r="B560" s="17">
        <v>8405468</v>
      </c>
      <c r="C560" s="1">
        <v>46051</v>
      </c>
      <c r="D560">
        <v>1</v>
      </c>
    </row>
    <row r="561" spans="1:4" x14ac:dyDescent="0.25">
      <c r="A561">
        <v>100252</v>
      </c>
      <c r="B561" s="17">
        <v>8405468</v>
      </c>
      <c r="C561" s="1">
        <v>46051</v>
      </c>
      <c r="D561">
        <v>0</v>
      </c>
    </row>
    <row r="562" spans="1:4" x14ac:dyDescent="0.25">
      <c r="A562">
        <v>100253</v>
      </c>
      <c r="B562" s="17">
        <v>8405468</v>
      </c>
      <c r="C562" s="1">
        <v>46051</v>
      </c>
      <c r="D562">
        <v>0</v>
      </c>
    </row>
    <row r="563" spans="1:4" x14ac:dyDescent="0.25">
      <c r="A563">
        <v>100252</v>
      </c>
      <c r="B563" s="17">
        <v>9292315</v>
      </c>
      <c r="C563" s="1">
        <v>46051</v>
      </c>
      <c r="D563">
        <v>2</v>
      </c>
    </row>
    <row r="564" spans="1:4" x14ac:dyDescent="0.25">
      <c r="A564">
        <v>100255</v>
      </c>
      <c r="B564" s="17">
        <v>1088638</v>
      </c>
      <c r="C564" s="1">
        <v>46052</v>
      </c>
      <c r="D564">
        <v>1</v>
      </c>
    </row>
    <row r="565" spans="1:4" x14ac:dyDescent="0.25">
      <c r="A565">
        <v>100256</v>
      </c>
      <c r="B565" s="17">
        <v>1088638</v>
      </c>
      <c r="C565" s="1">
        <v>46052</v>
      </c>
      <c r="D565">
        <v>1</v>
      </c>
    </row>
    <row r="566" spans="1:4" x14ac:dyDescent="0.25">
      <c r="A566">
        <v>100257</v>
      </c>
      <c r="B566" s="17">
        <v>1088638</v>
      </c>
      <c r="C566" s="1">
        <v>46052</v>
      </c>
      <c r="D566">
        <v>2</v>
      </c>
    </row>
    <row r="567" spans="1:4" x14ac:dyDescent="0.25">
      <c r="A567">
        <v>100260</v>
      </c>
      <c r="B567" s="17">
        <v>1088638</v>
      </c>
      <c r="C567" s="1">
        <v>46052</v>
      </c>
      <c r="D567">
        <v>3</v>
      </c>
    </row>
    <row r="568" spans="1:4" x14ac:dyDescent="0.25">
      <c r="A568">
        <v>100260</v>
      </c>
      <c r="B568" s="17">
        <v>1711217</v>
      </c>
      <c r="C568" s="1">
        <v>46052</v>
      </c>
      <c r="D568">
        <v>1</v>
      </c>
    </row>
    <row r="569" spans="1:4" x14ac:dyDescent="0.25">
      <c r="A569">
        <v>100257</v>
      </c>
      <c r="B569" s="17">
        <v>3894456</v>
      </c>
      <c r="C569" s="1">
        <v>46052</v>
      </c>
      <c r="D569">
        <v>1</v>
      </c>
    </row>
    <row r="570" spans="1:4" x14ac:dyDescent="0.25">
      <c r="A570">
        <v>100259</v>
      </c>
      <c r="B570" s="17">
        <v>3894456</v>
      </c>
      <c r="C570" s="1">
        <v>46052</v>
      </c>
      <c r="D570">
        <v>3</v>
      </c>
    </row>
    <row r="571" spans="1:4" x14ac:dyDescent="0.25">
      <c r="A571">
        <v>100260</v>
      </c>
      <c r="B571" s="17">
        <v>5624747</v>
      </c>
      <c r="C571" s="1">
        <v>46052</v>
      </c>
      <c r="D571">
        <v>1</v>
      </c>
    </row>
    <row r="572" spans="1:4" x14ac:dyDescent="0.25">
      <c r="A572">
        <v>100254</v>
      </c>
      <c r="B572" s="17">
        <v>8405468</v>
      </c>
      <c r="C572" s="1">
        <v>46052</v>
      </c>
      <c r="D572">
        <v>0</v>
      </c>
    </row>
    <row r="573" spans="1:4" x14ac:dyDescent="0.25">
      <c r="A573">
        <v>100255</v>
      </c>
      <c r="B573" s="17">
        <v>8405468</v>
      </c>
      <c r="C573" s="1">
        <v>46052</v>
      </c>
      <c r="D573">
        <v>0</v>
      </c>
    </row>
    <row r="574" spans="1:4" x14ac:dyDescent="0.25">
      <c r="A574">
        <v>100256</v>
      </c>
      <c r="B574" s="17">
        <v>8405468</v>
      </c>
      <c r="C574" s="1">
        <v>46052</v>
      </c>
      <c r="D574">
        <v>0</v>
      </c>
    </row>
    <row r="575" spans="1:4" x14ac:dyDescent="0.25">
      <c r="A575">
        <v>100259</v>
      </c>
      <c r="B575" s="17">
        <v>8405468</v>
      </c>
      <c r="C575" s="1">
        <v>46052</v>
      </c>
      <c r="D575">
        <v>0</v>
      </c>
    </row>
    <row r="576" spans="1:4" x14ac:dyDescent="0.25">
      <c r="A576">
        <v>100257</v>
      </c>
      <c r="B576" s="17">
        <v>9292315</v>
      </c>
      <c r="C576" s="1">
        <v>46052</v>
      </c>
      <c r="D576">
        <v>1</v>
      </c>
    </row>
    <row r="577" spans="1:4" x14ac:dyDescent="0.25">
      <c r="A577">
        <v>100258</v>
      </c>
      <c r="B577" s="17">
        <v>9292315</v>
      </c>
      <c r="C577" s="1">
        <v>46052</v>
      </c>
      <c r="D577">
        <v>5</v>
      </c>
    </row>
    <row r="578" spans="1:4" x14ac:dyDescent="0.25">
      <c r="A578">
        <v>100268</v>
      </c>
      <c r="B578" s="17">
        <v>1331817</v>
      </c>
      <c r="C578" s="1">
        <v>46053</v>
      </c>
      <c r="D578">
        <v>3</v>
      </c>
    </row>
    <row r="579" spans="1:4" x14ac:dyDescent="0.25">
      <c r="A579">
        <v>100263</v>
      </c>
      <c r="B579" s="17">
        <v>2732499</v>
      </c>
      <c r="C579" s="1">
        <v>46053</v>
      </c>
      <c r="D579">
        <v>1</v>
      </c>
    </row>
    <row r="580" spans="1:4" x14ac:dyDescent="0.25">
      <c r="A580">
        <v>100264</v>
      </c>
      <c r="B580" s="17">
        <v>2732499</v>
      </c>
      <c r="C580" s="1">
        <v>46053</v>
      </c>
      <c r="D580">
        <v>1</v>
      </c>
    </row>
    <row r="581" spans="1:4" x14ac:dyDescent="0.25">
      <c r="A581">
        <v>100267</v>
      </c>
      <c r="B581" s="17">
        <v>2732499</v>
      </c>
      <c r="C581" s="1">
        <v>46053</v>
      </c>
      <c r="D581">
        <v>1</v>
      </c>
    </row>
    <row r="582" spans="1:4" x14ac:dyDescent="0.25">
      <c r="A582">
        <v>100265</v>
      </c>
      <c r="B582" s="17">
        <v>2858379</v>
      </c>
      <c r="C582" s="1">
        <v>46053</v>
      </c>
      <c r="D582">
        <v>1</v>
      </c>
    </row>
    <row r="583" spans="1:4" x14ac:dyDescent="0.25">
      <c r="A583">
        <v>100269</v>
      </c>
      <c r="B583" s="17">
        <v>3894456</v>
      </c>
      <c r="C583" s="1">
        <v>46053</v>
      </c>
      <c r="D583">
        <v>2</v>
      </c>
    </row>
    <row r="584" spans="1:4" x14ac:dyDescent="0.25">
      <c r="A584">
        <v>100261</v>
      </c>
      <c r="B584" s="17">
        <v>6334728</v>
      </c>
      <c r="C584" s="1">
        <v>46053</v>
      </c>
      <c r="D584">
        <v>1</v>
      </c>
    </row>
    <row r="585" spans="1:4" x14ac:dyDescent="0.25">
      <c r="A585">
        <v>100263</v>
      </c>
      <c r="B585" s="17">
        <v>6334728</v>
      </c>
      <c r="C585" s="1">
        <v>46053</v>
      </c>
      <c r="D585">
        <v>0</v>
      </c>
    </row>
    <row r="586" spans="1:4" x14ac:dyDescent="0.25">
      <c r="A586">
        <v>100262</v>
      </c>
      <c r="B586" s="17">
        <v>6825224</v>
      </c>
      <c r="C586" s="1">
        <v>46053</v>
      </c>
      <c r="D586">
        <v>2</v>
      </c>
    </row>
    <row r="587" spans="1:4" x14ac:dyDescent="0.25">
      <c r="A587">
        <v>100265</v>
      </c>
      <c r="B587" s="17">
        <v>7023463</v>
      </c>
      <c r="C587" s="1">
        <v>46053</v>
      </c>
      <c r="D587">
        <v>2</v>
      </c>
    </row>
    <row r="588" spans="1:4" x14ac:dyDescent="0.25">
      <c r="A588">
        <v>100267</v>
      </c>
      <c r="B588" s="17">
        <v>7023463</v>
      </c>
      <c r="C588" s="1">
        <v>46053</v>
      </c>
      <c r="D588">
        <v>1</v>
      </c>
    </row>
    <row r="589" spans="1:4" x14ac:dyDescent="0.25">
      <c r="A589">
        <v>100268</v>
      </c>
      <c r="B589" s="17">
        <v>7023463</v>
      </c>
      <c r="C589" s="1">
        <v>46053</v>
      </c>
      <c r="D589">
        <v>1</v>
      </c>
    </row>
    <row r="590" spans="1:4" x14ac:dyDescent="0.25">
      <c r="A590">
        <v>100270</v>
      </c>
      <c r="B590" s="17">
        <v>7023463</v>
      </c>
      <c r="C590" s="1">
        <v>46053</v>
      </c>
      <c r="D590">
        <v>1</v>
      </c>
    </row>
    <row r="591" spans="1:4" x14ac:dyDescent="0.25">
      <c r="A591">
        <v>100264</v>
      </c>
      <c r="B591" s="17">
        <v>7165581</v>
      </c>
      <c r="C591" s="1">
        <v>46053</v>
      </c>
      <c r="D591">
        <v>1</v>
      </c>
    </row>
    <row r="592" spans="1:4" x14ac:dyDescent="0.25">
      <c r="A592">
        <v>100266</v>
      </c>
      <c r="B592" s="17">
        <v>7165581</v>
      </c>
      <c r="C592" s="1">
        <v>46053</v>
      </c>
      <c r="D592">
        <v>1</v>
      </c>
    </row>
    <row r="593" spans="1:4" x14ac:dyDescent="0.25">
      <c r="A593">
        <v>100271</v>
      </c>
      <c r="B593" s="17">
        <v>7165581</v>
      </c>
      <c r="C593" s="1">
        <v>46053</v>
      </c>
      <c r="D593">
        <v>3</v>
      </c>
    </row>
    <row r="594" spans="1:4" x14ac:dyDescent="0.25">
      <c r="A594">
        <v>100267</v>
      </c>
      <c r="B594" s="17">
        <v>8405468</v>
      </c>
      <c r="C594" s="1">
        <v>46053</v>
      </c>
      <c r="D594">
        <v>0</v>
      </c>
    </row>
    <row r="595" spans="1:4" x14ac:dyDescent="0.25">
      <c r="A595">
        <v>100270</v>
      </c>
      <c r="B595" s="17">
        <v>8405468</v>
      </c>
      <c r="C595" s="1">
        <v>46053</v>
      </c>
      <c r="D595">
        <v>0</v>
      </c>
    </row>
    <row r="596" spans="1:4" x14ac:dyDescent="0.25">
      <c r="A596">
        <v>100266</v>
      </c>
      <c r="B596" s="17">
        <v>9292315</v>
      </c>
      <c r="C596" s="1">
        <v>46053</v>
      </c>
      <c r="D596">
        <v>1</v>
      </c>
    </row>
    <row r="597" spans="1:4" x14ac:dyDescent="0.25">
      <c r="A597">
        <v>100269</v>
      </c>
      <c r="B597" s="17">
        <v>9292315</v>
      </c>
      <c r="C597" s="1">
        <v>46053</v>
      </c>
      <c r="D597">
        <v>0</v>
      </c>
    </row>
    <row r="598" spans="1:4" x14ac:dyDescent="0.25">
      <c r="A598">
        <v>100271</v>
      </c>
      <c r="B598" s="17">
        <v>9292315</v>
      </c>
      <c r="C598" s="1">
        <v>46053</v>
      </c>
      <c r="D598">
        <v>0</v>
      </c>
    </row>
    <row r="599" spans="1:4" x14ac:dyDescent="0.25">
      <c r="A599">
        <v>100276</v>
      </c>
      <c r="B599" s="17">
        <v>1253167</v>
      </c>
      <c r="C599" s="1">
        <v>46054</v>
      </c>
      <c r="D599">
        <v>1</v>
      </c>
    </row>
    <row r="600" spans="1:4" x14ac:dyDescent="0.25">
      <c r="A600">
        <v>100278</v>
      </c>
      <c r="B600" s="17">
        <v>1253167</v>
      </c>
      <c r="C600" s="1">
        <v>46054</v>
      </c>
      <c r="D600">
        <v>1</v>
      </c>
    </row>
    <row r="601" spans="1:4" x14ac:dyDescent="0.25">
      <c r="A601">
        <v>100279</v>
      </c>
      <c r="B601" s="17">
        <v>1253167</v>
      </c>
      <c r="C601" s="1">
        <v>46054</v>
      </c>
      <c r="D601">
        <v>2</v>
      </c>
    </row>
    <row r="602" spans="1:4" x14ac:dyDescent="0.25">
      <c r="A602">
        <v>100280</v>
      </c>
      <c r="B602" s="17">
        <v>1253167</v>
      </c>
      <c r="C602" s="1">
        <v>46054</v>
      </c>
      <c r="D602">
        <v>3</v>
      </c>
    </row>
    <row r="603" spans="1:4" x14ac:dyDescent="0.25">
      <c r="A603">
        <v>100275</v>
      </c>
      <c r="B603" s="17">
        <v>1711217</v>
      </c>
      <c r="C603" s="1">
        <v>46054</v>
      </c>
      <c r="D603">
        <v>2</v>
      </c>
    </row>
    <row r="604" spans="1:4" x14ac:dyDescent="0.25">
      <c r="A604">
        <v>100280</v>
      </c>
      <c r="B604" s="17">
        <v>1711217</v>
      </c>
      <c r="C604" s="1">
        <v>46054</v>
      </c>
      <c r="D604">
        <v>1</v>
      </c>
    </row>
    <row r="605" spans="1:4" x14ac:dyDescent="0.25">
      <c r="A605">
        <v>100278</v>
      </c>
      <c r="B605" s="17">
        <v>2732499</v>
      </c>
      <c r="C605" s="1">
        <v>46054</v>
      </c>
      <c r="D605">
        <v>1</v>
      </c>
    </row>
    <row r="606" spans="1:4" x14ac:dyDescent="0.25">
      <c r="A606">
        <v>100279</v>
      </c>
      <c r="B606" s="17">
        <v>2732499</v>
      </c>
      <c r="C606" s="1">
        <v>46054</v>
      </c>
      <c r="D606">
        <v>2</v>
      </c>
    </row>
    <row r="607" spans="1:4" x14ac:dyDescent="0.25">
      <c r="A607">
        <v>100276</v>
      </c>
      <c r="B607" s="17">
        <v>4255235</v>
      </c>
      <c r="C607" s="1">
        <v>46054</v>
      </c>
      <c r="D607">
        <v>1</v>
      </c>
    </row>
    <row r="608" spans="1:4" x14ac:dyDescent="0.25">
      <c r="A608">
        <v>100277</v>
      </c>
      <c r="B608" s="17">
        <v>4255235</v>
      </c>
      <c r="C608" s="1">
        <v>46054</v>
      </c>
      <c r="D608">
        <v>2</v>
      </c>
    </row>
    <row r="609" spans="1:4" x14ac:dyDescent="0.25">
      <c r="A609">
        <v>100273</v>
      </c>
      <c r="B609" s="17">
        <v>6230104</v>
      </c>
      <c r="C609" s="1">
        <v>46054</v>
      </c>
      <c r="D609">
        <v>1</v>
      </c>
    </row>
    <row r="610" spans="1:4" x14ac:dyDescent="0.25">
      <c r="A610">
        <v>100272</v>
      </c>
      <c r="B610" s="17">
        <v>6334728</v>
      </c>
      <c r="C610" s="1">
        <v>46054</v>
      </c>
      <c r="D610">
        <v>0</v>
      </c>
    </row>
    <row r="611" spans="1:4" x14ac:dyDescent="0.25">
      <c r="A611">
        <v>100273</v>
      </c>
      <c r="B611" s="17">
        <v>6334728</v>
      </c>
      <c r="C611" s="1">
        <v>46054</v>
      </c>
      <c r="D611">
        <v>0</v>
      </c>
    </row>
    <row r="612" spans="1:4" x14ac:dyDescent="0.25">
      <c r="A612">
        <v>100279</v>
      </c>
      <c r="B612" s="17">
        <v>6334728</v>
      </c>
      <c r="C612" s="1">
        <v>46054</v>
      </c>
      <c r="D612">
        <v>0</v>
      </c>
    </row>
    <row r="613" spans="1:4" x14ac:dyDescent="0.25">
      <c r="A613">
        <v>100277</v>
      </c>
      <c r="B613" s="17">
        <v>6825224</v>
      </c>
      <c r="C613" s="1">
        <v>46054</v>
      </c>
      <c r="D613">
        <v>1</v>
      </c>
    </row>
    <row r="614" spans="1:4" x14ac:dyDescent="0.25">
      <c r="A614">
        <v>100280</v>
      </c>
      <c r="B614" s="17">
        <v>6825224</v>
      </c>
      <c r="C614" s="1">
        <v>46054</v>
      </c>
      <c r="D614">
        <v>1</v>
      </c>
    </row>
    <row r="615" spans="1:4" x14ac:dyDescent="0.25">
      <c r="A615">
        <v>100280</v>
      </c>
      <c r="B615" s="17">
        <v>7747619</v>
      </c>
      <c r="C615" s="1">
        <v>46054</v>
      </c>
      <c r="D615">
        <v>3</v>
      </c>
    </row>
    <row r="616" spans="1:4" x14ac:dyDescent="0.25">
      <c r="A616">
        <v>100275</v>
      </c>
      <c r="B616" s="17">
        <v>8306905</v>
      </c>
      <c r="C616" s="1">
        <v>46054</v>
      </c>
      <c r="D616">
        <v>1</v>
      </c>
    </row>
    <row r="617" spans="1:4" x14ac:dyDescent="0.25">
      <c r="A617">
        <v>100278</v>
      </c>
      <c r="B617" s="17">
        <v>8306905</v>
      </c>
      <c r="C617" s="1">
        <v>46054</v>
      </c>
      <c r="D617">
        <v>2</v>
      </c>
    </row>
    <row r="618" spans="1:4" x14ac:dyDescent="0.25">
      <c r="A618">
        <v>100280</v>
      </c>
      <c r="B618" s="17">
        <v>8306905</v>
      </c>
      <c r="C618" s="1">
        <v>46054</v>
      </c>
      <c r="D618">
        <v>1</v>
      </c>
    </row>
    <row r="619" spans="1:4" x14ac:dyDescent="0.25">
      <c r="A619">
        <v>100274</v>
      </c>
      <c r="B619" s="17">
        <v>8405468</v>
      </c>
      <c r="C619" s="1">
        <v>46054</v>
      </c>
      <c r="D619">
        <v>0</v>
      </c>
    </row>
    <row r="620" spans="1:4" x14ac:dyDescent="0.25">
      <c r="A620">
        <v>100276</v>
      </c>
      <c r="B620" s="17">
        <v>8405468</v>
      </c>
      <c r="C620" s="1">
        <v>46054</v>
      </c>
      <c r="D620">
        <v>0</v>
      </c>
    </row>
    <row r="621" spans="1:4" x14ac:dyDescent="0.25">
      <c r="A621">
        <v>100274</v>
      </c>
      <c r="B621" s="17">
        <v>9292315</v>
      </c>
      <c r="C621" s="1">
        <v>46054</v>
      </c>
      <c r="D621">
        <v>0</v>
      </c>
    </row>
    <row r="622" spans="1:4" x14ac:dyDescent="0.25">
      <c r="A622">
        <v>100277</v>
      </c>
      <c r="B622" s="17">
        <v>9292315</v>
      </c>
      <c r="C622" s="1">
        <v>46054</v>
      </c>
      <c r="D622">
        <v>0</v>
      </c>
    </row>
    <row r="623" spans="1:4" x14ac:dyDescent="0.25">
      <c r="A623">
        <v>100281</v>
      </c>
      <c r="B623" s="17">
        <v>1088638</v>
      </c>
      <c r="C623" s="1">
        <v>46055</v>
      </c>
      <c r="D623">
        <v>2</v>
      </c>
    </row>
    <row r="624" spans="1:4" x14ac:dyDescent="0.25">
      <c r="A624">
        <v>100282</v>
      </c>
      <c r="B624" s="17">
        <v>1253167</v>
      </c>
      <c r="C624" s="1">
        <v>46055</v>
      </c>
      <c r="D624">
        <v>3</v>
      </c>
    </row>
    <row r="625" spans="1:4" x14ac:dyDescent="0.25">
      <c r="A625">
        <v>100281</v>
      </c>
      <c r="B625" s="17">
        <v>7747619</v>
      </c>
      <c r="C625" s="1">
        <v>46055</v>
      </c>
      <c r="D625">
        <v>1</v>
      </c>
    </row>
    <row r="626" spans="1:4" x14ac:dyDescent="0.25">
      <c r="A626">
        <v>100282</v>
      </c>
      <c r="B626" s="17">
        <v>7747619</v>
      </c>
      <c r="C626" s="1">
        <v>46055</v>
      </c>
      <c r="D626">
        <v>1</v>
      </c>
    </row>
    <row r="627" spans="1:4" x14ac:dyDescent="0.25">
      <c r="A627">
        <v>100291</v>
      </c>
      <c r="B627" s="17">
        <v>1088638</v>
      </c>
      <c r="C627" s="1">
        <v>46056</v>
      </c>
      <c r="D627">
        <v>4</v>
      </c>
    </row>
    <row r="628" spans="1:4" x14ac:dyDescent="0.25">
      <c r="A628">
        <v>100284</v>
      </c>
      <c r="B628" s="17">
        <v>1253167</v>
      </c>
      <c r="C628" s="1">
        <v>46056</v>
      </c>
      <c r="D628">
        <v>1</v>
      </c>
    </row>
    <row r="629" spans="1:4" x14ac:dyDescent="0.25">
      <c r="A629">
        <v>100289</v>
      </c>
      <c r="B629" s="17">
        <v>1253167</v>
      </c>
      <c r="C629" s="1">
        <v>46056</v>
      </c>
      <c r="D629">
        <v>2</v>
      </c>
    </row>
    <row r="630" spans="1:4" x14ac:dyDescent="0.25">
      <c r="A630">
        <v>100287</v>
      </c>
      <c r="B630" s="17">
        <v>1711217</v>
      </c>
      <c r="C630" s="1">
        <v>46056</v>
      </c>
      <c r="D630">
        <v>3</v>
      </c>
    </row>
    <row r="631" spans="1:4" x14ac:dyDescent="0.25">
      <c r="A631">
        <v>100290</v>
      </c>
      <c r="B631" s="17">
        <v>1711217</v>
      </c>
      <c r="C631" s="1">
        <v>46056</v>
      </c>
      <c r="D631">
        <v>1</v>
      </c>
    </row>
    <row r="632" spans="1:4" x14ac:dyDescent="0.25">
      <c r="A632">
        <v>100290</v>
      </c>
      <c r="B632" s="17">
        <v>2732499</v>
      </c>
      <c r="C632" s="1">
        <v>46056</v>
      </c>
      <c r="D632">
        <v>1</v>
      </c>
    </row>
    <row r="633" spans="1:4" x14ac:dyDescent="0.25">
      <c r="A633">
        <v>100292</v>
      </c>
      <c r="B633" s="17">
        <v>2732499</v>
      </c>
      <c r="C633" s="1">
        <v>46056</v>
      </c>
      <c r="D633">
        <v>4</v>
      </c>
    </row>
    <row r="634" spans="1:4" x14ac:dyDescent="0.25">
      <c r="A634">
        <v>100286</v>
      </c>
      <c r="B634" s="17">
        <v>5624747</v>
      </c>
      <c r="C634" s="1">
        <v>46056</v>
      </c>
      <c r="D634">
        <v>1</v>
      </c>
    </row>
    <row r="635" spans="1:4" x14ac:dyDescent="0.25">
      <c r="A635">
        <v>100288</v>
      </c>
      <c r="B635" s="17">
        <v>5624747</v>
      </c>
      <c r="C635" s="1">
        <v>46056</v>
      </c>
      <c r="D635">
        <v>1</v>
      </c>
    </row>
    <row r="636" spans="1:4" x14ac:dyDescent="0.25">
      <c r="A636">
        <v>100285</v>
      </c>
      <c r="B636" s="17">
        <v>6334728</v>
      </c>
      <c r="C636" s="1">
        <v>46056</v>
      </c>
      <c r="D636">
        <v>1</v>
      </c>
    </row>
    <row r="637" spans="1:4" x14ac:dyDescent="0.25">
      <c r="A637">
        <v>100288</v>
      </c>
      <c r="B637" s="17">
        <v>6334728</v>
      </c>
      <c r="C637" s="1">
        <v>46056</v>
      </c>
      <c r="D637">
        <v>1</v>
      </c>
    </row>
    <row r="638" spans="1:4" x14ac:dyDescent="0.25">
      <c r="A638">
        <v>100292</v>
      </c>
      <c r="B638" s="17">
        <v>6334728</v>
      </c>
      <c r="C638" s="1">
        <v>46056</v>
      </c>
      <c r="D638">
        <v>1</v>
      </c>
    </row>
    <row r="639" spans="1:4" x14ac:dyDescent="0.25">
      <c r="A639">
        <v>100290</v>
      </c>
      <c r="B639" s="17">
        <v>6341525</v>
      </c>
      <c r="C639" s="1">
        <v>46056</v>
      </c>
      <c r="D639">
        <v>1</v>
      </c>
    </row>
    <row r="640" spans="1:4" x14ac:dyDescent="0.25">
      <c r="A640">
        <v>100283</v>
      </c>
      <c r="B640" s="17">
        <v>7023463</v>
      </c>
      <c r="C640" s="1">
        <v>46056</v>
      </c>
      <c r="D640">
        <v>1</v>
      </c>
    </row>
    <row r="641" spans="1:4" x14ac:dyDescent="0.25">
      <c r="A641">
        <v>100288</v>
      </c>
      <c r="B641" s="17">
        <v>7023463</v>
      </c>
      <c r="C641" s="1">
        <v>46056</v>
      </c>
      <c r="D641">
        <v>1</v>
      </c>
    </row>
    <row r="642" spans="1:4" x14ac:dyDescent="0.25">
      <c r="A642">
        <v>100290</v>
      </c>
      <c r="B642" s="17">
        <v>7165581</v>
      </c>
      <c r="C642" s="1">
        <v>46056</v>
      </c>
      <c r="D642">
        <v>1</v>
      </c>
    </row>
    <row r="643" spans="1:4" x14ac:dyDescent="0.25">
      <c r="A643">
        <v>100289</v>
      </c>
      <c r="B643" s="17">
        <v>8306905</v>
      </c>
      <c r="C643" s="1">
        <v>46056</v>
      </c>
      <c r="D643">
        <v>2</v>
      </c>
    </row>
    <row r="644" spans="1:4" x14ac:dyDescent="0.25">
      <c r="A644">
        <v>100291</v>
      </c>
      <c r="B644" s="17">
        <v>8306905</v>
      </c>
      <c r="C644" s="1">
        <v>46056</v>
      </c>
      <c r="D644">
        <v>1</v>
      </c>
    </row>
    <row r="645" spans="1:4" x14ac:dyDescent="0.25">
      <c r="A645">
        <v>100292</v>
      </c>
      <c r="B645" s="17">
        <v>8405468</v>
      </c>
      <c r="C645" s="1">
        <v>46056</v>
      </c>
      <c r="D645">
        <v>1</v>
      </c>
    </row>
    <row r="646" spans="1:4" x14ac:dyDescent="0.25">
      <c r="A646">
        <v>100285</v>
      </c>
      <c r="B646" s="17">
        <v>9292315</v>
      </c>
      <c r="C646" s="1">
        <v>46056</v>
      </c>
      <c r="D646">
        <v>1</v>
      </c>
    </row>
    <row r="647" spans="1:4" x14ac:dyDescent="0.25">
      <c r="A647">
        <v>100286</v>
      </c>
      <c r="B647" s="17">
        <v>9292315</v>
      </c>
      <c r="C647" s="1">
        <v>46056</v>
      </c>
      <c r="D647">
        <v>1</v>
      </c>
    </row>
    <row r="648" spans="1:4" x14ac:dyDescent="0.25">
      <c r="A648">
        <v>100290</v>
      </c>
      <c r="B648" s="17">
        <v>9292315</v>
      </c>
      <c r="C648" s="1">
        <v>46056</v>
      </c>
      <c r="D648">
        <v>1</v>
      </c>
    </row>
    <row r="649" spans="1:4" x14ac:dyDescent="0.25">
      <c r="A649">
        <v>100291</v>
      </c>
      <c r="B649" s="17">
        <v>9292315</v>
      </c>
      <c r="C649" s="1">
        <v>46056</v>
      </c>
      <c r="D649">
        <v>1</v>
      </c>
    </row>
    <row r="650" spans="1:4" x14ac:dyDescent="0.25">
      <c r="A650">
        <v>100292</v>
      </c>
      <c r="B650" s="17">
        <v>9292315</v>
      </c>
      <c r="C650" s="1">
        <v>46056</v>
      </c>
      <c r="D650">
        <v>1</v>
      </c>
    </row>
    <row r="651" spans="1:4" x14ac:dyDescent="0.25">
      <c r="A651">
        <v>100298</v>
      </c>
      <c r="B651" s="17">
        <v>1088638</v>
      </c>
      <c r="C651" s="1">
        <v>46057</v>
      </c>
      <c r="D651">
        <v>2</v>
      </c>
    </row>
    <row r="652" spans="1:4" x14ac:dyDescent="0.25">
      <c r="A652">
        <v>100300</v>
      </c>
      <c r="B652" s="17">
        <v>1088638</v>
      </c>
      <c r="C652" s="1">
        <v>46057</v>
      </c>
      <c r="D652">
        <v>1</v>
      </c>
    </row>
    <row r="653" spans="1:4" x14ac:dyDescent="0.25">
      <c r="A653">
        <v>100293</v>
      </c>
      <c r="B653" s="17">
        <v>1253167</v>
      </c>
      <c r="C653" s="1">
        <v>46057</v>
      </c>
      <c r="D653">
        <v>1</v>
      </c>
    </row>
    <row r="654" spans="1:4" x14ac:dyDescent="0.25">
      <c r="A654">
        <v>100295</v>
      </c>
      <c r="B654" s="17">
        <v>1253167</v>
      </c>
      <c r="C654" s="1">
        <v>46057</v>
      </c>
      <c r="D654">
        <v>1</v>
      </c>
    </row>
    <row r="655" spans="1:4" x14ac:dyDescent="0.25">
      <c r="A655">
        <v>100297</v>
      </c>
      <c r="B655" s="17">
        <v>1711217</v>
      </c>
      <c r="C655" s="1">
        <v>46057</v>
      </c>
      <c r="D655">
        <v>1</v>
      </c>
    </row>
    <row r="656" spans="1:4" x14ac:dyDescent="0.25">
      <c r="A656">
        <v>100299</v>
      </c>
      <c r="B656" s="17">
        <v>1711217</v>
      </c>
      <c r="C656" s="1">
        <v>46057</v>
      </c>
      <c r="D656">
        <v>1</v>
      </c>
    </row>
    <row r="657" spans="1:4" x14ac:dyDescent="0.25">
      <c r="A657">
        <v>100300</v>
      </c>
      <c r="B657" s="17">
        <v>1711217</v>
      </c>
      <c r="C657" s="1">
        <v>46057</v>
      </c>
      <c r="D657">
        <v>1</v>
      </c>
    </row>
    <row r="658" spans="1:4" x14ac:dyDescent="0.25">
      <c r="A658">
        <v>100299</v>
      </c>
      <c r="B658" s="17">
        <v>5619128</v>
      </c>
      <c r="C658" s="1">
        <v>46057</v>
      </c>
      <c r="D658">
        <v>1</v>
      </c>
    </row>
    <row r="659" spans="1:4" x14ac:dyDescent="0.25">
      <c r="A659">
        <v>100293</v>
      </c>
      <c r="B659" s="17">
        <v>5624747</v>
      </c>
      <c r="C659" s="1">
        <v>46057</v>
      </c>
      <c r="D659">
        <v>1</v>
      </c>
    </row>
    <row r="660" spans="1:4" x14ac:dyDescent="0.25">
      <c r="A660">
        <v>100294</v>
      </c>
      <c r="B660" s="17">
        <v>5624747</v>
      </c>
      <c r="C660" s="1">
        <v>46057</v>
      </c>
      <c r="D660">
        <v>1</v>
      </c>
    </row>
    <row r="661" spans="1:4" x14ac:dyDescent="0.25">
      <c r="A661">
        <v>100295</v>
      </c>
      <c r="B661" s="17">
        <v>5624747</v>
      </c>
      <c r="C661" s="1">
        <v>46057</v>
      </c>
      <c r="D661">
        <v>1</v>
      </c>
    </row>
    <row r="662" spans="1:4" x14ac:dyDescent="0.25">
      <c r="A662">
        <v>100296</v>
      </c>
      <c r="B662" s="17">
        <v>5624747</v>
      </c>
      <c r="C662" s="1">
        <v>46057</v>
      </c>
      <c r="D662">
        <v>1</v>
      </c>
    </row>
    <row r="663" spans="1:4" x14ac:dyDescent="0.25">
      <c r="A663">
        <v>100300</v>
      </c>
      <c r="B663" s="17">
        <v>5624747</v>
      </c>
      <c r="C663" s="1">
        <v>46057</v>
      </c>
      <c r="D663">
        <v>1</v>
      </c>
    </row>
    <row r="664" spans="1:4" x14ac:dyDescent="0.25">
      <c r="A664">
        <v>100299</v>
      </c>
      <c r="B664" s="17">
        <v>6825224</v>
      </c>
      <c r="C664" s="1">
        <v>46057</v>
      </c>
      <c r="D664">
        <v>1</v>
      </c>
    </row>
    <row r="665" spans="1:4" x14ac:dyDescent="0.25">
      <c r="A665">
        <v>100300</v>
      </c>
      <c r="B665" s="17">
        <v>6825224</v>
      </c>
      <c r="C665" s="1">
        <v>46057</v>
      </c>
      <c r="D665">
        <v>1</v>
      </c>
    </row>
    <row r="666" spans="1:4" x14ac:dyDescent="0.25">
      <c r="A666">
        <v>100297</v>
      </c>
      <c r="B666" s="17">
        <v>7023463</v>
      </c>
      <c r="C666" s="1">
        <v>46057</v>
      </c>
      <c r="D666">
        <v>2</v>
      </c>
    </row>
    <row r="667" spans="1:4" x14ac:dyDescent="0.25">
      <c r="A667">
        <v>100298</v>
      </c>
      <c r="B667" s="17">
        <v>7023463</v>
      </c>
      <c r="C667" s="1">
        <v>46057</v>
      </c>
      <c r="D667">
        <v>1</v>
      </c>
    </row>
    <row r="668" spans="1:4" x14ac:dyDescent="0.25">
      <c r="A668">
        <v>100294</v>
      </c>
      <c r="B668" s="17">
        <v>7944400</v>
      </c>
      <c r="C668" s="1">
        <v>46057</v>
      </c>
      <c r="D668">
        <v>1</v>
      </c>
    </row>
    <row r="669" spans="1:4" x14ac:dyDescent="0.25">
      <c r="A669">
        <v>100298</v>
      </c>
      <c r="B669" s="17">
        <v>7944400</v>
      </c>
      <c r="C669" s="1">
        <v>46057</v>
      </c>
      <c r="D669">
        <v>1</v>
      </c>
    </row>
    <row r="670" spans="1:4" x14ac:dyDescent="0.25">
      <c r="A670">
        <v>100296</v>
      </c>
      <c r="B670" s="17">
        <v>8405468</v>
      </c>
      <c r="C670" s="1">
        <v>46057</v>
      </c>
      <c r="D670">
        <v>2</v>
      </c>
    </row>
    <row r="671" spans="1:4" x14ac:dyDescent="0.25">
      <c r="A671">
        <v>100297</v>
      </c>
      <c r="B671" s="17">
        <v>8405468</v>
      </c>
      <c r="C671" s="1">
        <v>46057</v>
      </c>
      <c r="D671">
        <v>1</v>
      </c>
    </row>
    <row r="672" spans="1:4" x14ac:dyDescent="0.25">
      <c r="A672">
        <v>100299</v>
      </c>
      <c r="B672" s="17">
        <v>9292315</v>
      </c>
      <c r="C672" s="1">
        <v>46057</v>
      </c>
      <c r="D672">
        <v>1</v>
      </c>
    </row>
    <row r="673" spans="1:4" x14ac:dyDescent="0.25">
      <c r="A673">
        <v>100300</v>
      </c>
      <c r="B673" s="17">
        <v>9292315</v>
      </c>
      <c r="C673" s="1">
        <v>46057</v>
      </c>
      <c r="D673">
        <v>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2A63F-38B2-47EB-B61D-CD8036A202E0}">
  <dimension ref="A1:G23"/>
  <sheetViews>
    <sheetView workbookViewId="0">
      <selection activeCell="C4" sqref="C4"/>
    </sheetView>
  </sheetViews>
  <sheetFormatPr defaultRowHeight="15" x14ac:dyDescent="0.25"/>
  <cols>
    <col min="1" max="1" width="13.85546875" customWidth="1"/>
    <col min="2" max="2" width="12.7109375" customWidth="1"/>
    <col min="3" max="4" width="16.140625" customWidth="1"/>
    <col min="5" max="5" width="18" bestFit="1" customWidth="1"/>
    <col min="6" max="6" width="21.7109375" bestFit="1" customWidth="1"/>
  </cols>
  <sheetData>
    <row r="1" spans="1:7" x14ac:dyDescent="0.25">
      <c r="A1" t="s">
        <v>41</v>
      </c>
      <c r="B1" t="s">
        <v>36</v>
      </c>
      <c r="C1" t="s">
        <v>42</v>
      </c>
      <c r="D1" t="s">
        <v>50</v>
      </c>
      <c r="E1" t="s">
        <v>48</v>
      </c>
      <c r="F1" t="s">
        <v>49</v>
      </c>
      <c r="G1" t="s">
        <v>51</v>
      </c>
    </row>
    <row r="2" spans="1:7" x14ac:dyDescent="0.25">
      <c r="A2">
        <v>2561424</v>
      </c>
      <c r="B2" s="17">
        <v>1088638</v>
      </c>
      <c r="C2" s="1">
        <v>46024</v>
      </c>
      <c r="D2" s="1">
        <v>46027</v>
      </c>
      <c r="E2">
        <v>3</v>
      </c>
      <c r="F2">
        <v>72</v>
      </c>
      <c r="G2">
        <v>112.27</v>
      </c>
    </row>
    <row r="3" spans="1:7" x14ac:dyDescent="0.25">
      <c r="A3">
        <v>2561424</v>
      </c>
      <c r="B3" s="17">
        <v>1253167</v>
      </c>
      <c r="C3" s="1">
        <v>46024</v>
      </c>
      <c r="D3" s="1">
        <v>46027</v>
      </c>
      <c r="E3">
        <v>1</v>
      </c>
      <c r="F3">
        <v>24</v>
      </c>
      <c r="G3">
        <v>26.56</v>
      </c>
    </row>
    <row r="4" spans="1:7" x14ac:dyDescent="0.25">
      <c r="A4">
        <v>2561424</v>
      </c>
      <c r="B4" s="17">
        <v>1711217</v>
      </c>
      <c r="C4" s="1">
        <v>46024</v>
      </c>
      <c r="D4" s="1">
        <v>46027</v>
      </c>
      <c r="E4">
        <v>2</v>
      </c>
      <c r="F4">
        <v>48</v>
      </c>
      <c r="G4">
        <v>55.45</v>
      </c>
    </row>
    <row r="5" spans="1:7" x14ac:dyDescent="0.25">
      <c r="A5">
        <v>2561424</v>
      </c>
      <c r="B5" s="17">
        <v>2732499</v>
      </c>
      <c r="C5" s="1">
        <v>46024</v>
      </c>
      <c r="D5" s="1">
        <v>46027</v>
      </c>
      <c r="E5">
        <v>2</v>
      </c>
      <c r="F5">
        <v>48</v>
      </c>
      <c r="G5">
        <v>50.71</v>
      </c>
    </row>
    <row r="6" spans="1:7" x14ac:dyDescent="0.25">
      <c r="A6">
        <v>2561424</v>
      </c>
      <c r="B6" s="17">
        <v>4255235</v>
      </c>
      <c r="C6" s="1">
        <v>46024</v>
      </c>
      <c r="D6" s="1">
        <v>46027</v>
      </c>
      <c r="E6">
        <v>1</v>
      </c>
      <c r="F6">
        <v>24</v>
      </c>
      <c r="G6">
        <v>26.58</v>
      </c>
    </row>
    <row r="7" spans="1:7" x14ac:dyDescent="0.25">
      <c r="A7">
        <v>2561424</v>
      </c>
      <c r="B7" s="17">
        <v>6825224</v>
      </c>
      <c r="C7" s="1">
        <v>46024</v>
      </c>
      <c r="D7" s="1">
        <v>46027</v>
      </c>
      <c r="E7">
        <v>2</v>
      </c>
      <c r="F7">
        <v>48</v>
      </c>
      <c r="G7">
        <v>60.47</v>
      </c>
    </row>
    <row r="8" spans="1:7" x14ac:dyDescent="0.25">
      <c r="A8">
        <v>2561424</v>
      </c>
      <c r="B8" s="17">
        <v>7023463</v>
      </c>
      <c r="C8" s="1">
        <v>46024</v>
      </c>
      <c r="D8" s="1">
        <v>46027</v>
      </c>
      <c r="E8">
        <v>2</v>
      </c>
      <c r="F8">
        <v>48</v>
      </c>
      <c r="G8">
        <v>65.12</v>
      </c>
    </row>
    <row r="9" spans="1:7" x14ac:dyDescent="0.25">
      <c r="A9">
        <v>2561424</v>
      </c>
      <c r="B9" s="17">
        <v>7165581</v>
      </c>
      <c r="C9" s="1">
        <v>46024</v>
      </c>
      <c r="D9" s="1">
        <v>46027</v>
      </c>
      <c r="E9">
        <v>2</v>
      </c>
      <c r="F9">
        <v>56</v>
      </c>
      <c r="G9">
        <v>52.07</v>
      </c>
    </row>
    <row r="10" spans="1:7" x14ac:dyDescent="0.25">
      <c r="A10">
        <v>2561424</v>
      </c>
      <c r="B10" s="17">
        <v>8306905</v>
      </c>
      <c r="C10" s="1">
        <v>46024</v>
      </c>
      <c r="D10" s="1">
        <v>46027</v>
      </c>
      <c r="E10">
        <v>1</v>
      </c>
      <c r="F10">
        <v>28</v>
      </c>
      <c r="G10">
        <v>25.42</v>
      </c>
    </row>
    <row r="11" spans="1:7" x14ac:dyDescent="0.25">
      <c r="A11">
        <v>2561424</v>
      </c>
      <c r="B11" s="17">
        <v>9292315</v>
      </c>
      <c r="C11" s="1">
        <v>46024</v>
      </c>
      <c r="D11" s="1">
        <v>46027</v>
      </c>
      <c r="E11">
        <v>2</v>
      </c>
      <c r="F11">
        <v>56</v>
      </c>
      <c r="G11">
        <v>53.5</v>
      </c>
    </row>
    <row r="12" spans="1:7" x14ac:dyDescent="0.25">
      <c r="A12">
        <v>2561425</v>
      </c>
      <c r="B12" s="17">
        <v>1253167</v>
      </c>
      <c r="C12" s="1">
        <v>46038</v>
      </c>
      <c r="D12" s="1">
        <v>46041</v>
      </c>
      <c r="E12">
        <v>2</v>
      </c>
      <c r="F12">
        <v>48</v>
      </c>
      <c r="G12">
        <v>53.13</v>
      </c>
    </row>
    <row r="13" spans="1:7" x14ac:dyDescent="0.25">
      <c r="A13">
        <v>2561425</v>
      </c>
      <c r="B13" s="17">
        <v>1711217</v>
      </c>
      <c r="C13" s="1">
        <v>46038</v>
      </c>
      <c r="D13" s="1">
        <v>46041</v>
      </c>
      <c r="E13">
        <v>1</v>
      </c>
      <c r="F13">
        <v>24</v>
      </c>
      <c r="G13">
        <v>27.73</v>
      </c>
    </row>
    <row r="14" spans="1:7" x14ac:dyDescent="0.25">
      <c r="A14">
        <v>2561425</v>
      </c>
      <c r="B14" s="17">
        <v>3894456</v>
      </c>
      <c r="C14" s="1">
        <v>46038</v>
      </c>
      <c r="D14" s="1">
        <v>46041</v>
      </c>
      <c r="E14">
        <v>1</v>
      </c>
      <c r="F14">
        <v>24</v>
      </c>
      <c r="G14">
        <v>27.78</v>
      </c>
    </row>
    <row r="15" spans="1:7" x14ac:dyDescent="0.25">
      <c r="A15">
        <v>2561425</v>
      </c>
      <c r="B15" s="17">
        <v>5624747</v>
      </c>
      <c r="C15" s="1">
        <v>46038</v>
      </c>
      <c r="D15" s="1">
        <v>46041</v>
      </c>
      <c r="E15">
        <v>1</v>
      </c>
      <c r="F15">
        <v>28</v>
      </c>
      <c r="G15">
        <v>25.36</v>
      </c>
    </row>
    <row r="16" spans="1:7" x14ac:dyDescent="0.25">
      <c r="A16">
        <v>2561425</v>
      </c>
      <c r="B16" s="17">
        <v>6828260</v>
      </c>
      <c r="C16" s="1">
        <v>46038</v>
      </c>
      <c r="D16" s="1">
        <v>46041</v>
      </c>
      <c r="E16">
        <v>1</v>
      </c>
      <c r="F16">
        <v>28</v>
      </c>
      <c r="G16">
        <v>27.59</v>
      </c>
    </row>
    <row r="17" spans="1:7" x14ac:dyDescent="0.25">
      <c r="A17">
        <v>2561425</v>
      </c>
      <c r="B17" s="17">
        <v>8405468</v>
      </c>
      <c r="C17" s="1">
        <v>46038</v>
      </c>
      <c r="D17" s="1">
        <v>46041</v>
      </c>
      <c r="E17">
        <v>1</v>
      </c>
      <c r="F17">
        <v>28</v>
      </c>
      <c r="G17">
        <v>24.06</v>
      </c>
    </row>
    <row r="18" spans="1:7" x14ac:dyDescent="0.25">
      <c r="A18">
        <v>2561426</v>
      </c>
      <c r="B18" s="17">
        <v>1253167</v>
      </c>
      <c r="C18" s="1">
        <v>46052</v>
      </c>
      <c r="D18" s="1">
        <v>46055</v>
      </c>
      <c r="E18">
        <v>1</v>
      </c>
      <c r="F18">
        <v>24</v>
      </c>
      <c r="G18">
        <v>26.56</v>
      </c>
    </row>
    <row r="19" spans="1:7" x14ac:dyDescent="0.25">
      <c r="A19">
        <v>2561426</v>
      </c>
      <c r="B19" s="17">
        <v>1711217</v>
      </c>
      <c r="C19" s="1">
        <v>46052</v>
      </c>
      <c r="D19" s="1">
        <v>46055</v>
      </c>
      <c r="E19">
        <v>1</v>
      </c>
      <c r="F19">
        <v>24</v>
      </c>
      <c r="G19">
        <v>27.73</v>
      </c>
    </row>
    <row r="20" spans="1:7" x14ac:dyDescent="0.25">
      <c r="A20">
        <v>2561426</v>
      </c>
      <c r="B20" s="17">
        <v>2732499</v>
      </c>
      <c r="C20" s="1">
        <v>46052</v>
      </c>
      <c r="D20" s="1">
        <v>46055</v>
      </c>
      <c r="E20">
        <v>1</v>
      </c>
      <c r="F20">
        <v>24</v>
      </c>
      <c r="G20">
        <v>25.35</v>
      </c>
    </row>
    <row r="21" spans="1:7" x14ac:dyDescent="0.25">
      <c r="A21">
        <v>2561426</v>
      </c>
      <c r="B21" s="17">
        <v>6334728</v>
      </c>
      <c r="C21" s="1">
        <v>46052</v>
      </c>
      <c r="D21" s="1">
        <v>46055</v>
      </c>
      <c r="E21">
        <v>1</v>
      </c>
      <c r="F21">
        <v>28</v>
      </c>
      <c r="G21">
        <v>26.75</v>
      </c>
    </row>
    <row r="22" spans="1:7" x14ac:dyDescent="0.25">
      <c r="A22">
        <v>2561426</v>
      </c>
      <c r="B22" s="17">
        <v>8405468</v>
      </c>
      <c r="C22" s="1">
        <v>46052</v>
      </c>
      <c r="D22" s="1">
        <v>46055</v>
      </c>
      <c r="E22">
        <v>3</v>
      </c>
      <c r="F22">
        <v>84</v>
      </c>
      <c r="G22">
        <v>72.17</v>
      </c>
    </row>
    <row r="23" spans="1:7" x14ac:dyDescent="0.25">
      <c r="A23">
        <v>2561426</v>
      </c>
      <c r="B23" s="17">
        <v>9292315</v>
      </c>
      <c r="C23" s="1">
        <v>46052</v>
      </c>
      <c r="D23" s="1">
        <v>46055</v>
      </c>
      <c r="E23">
        <v>2</v>
      </c>
      <c r="F23">
        <v>56</v>
      </c>
      <c r="G23">
        <v>53.5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98689-1265-46CD-899C-A3FDED57CBB5}">
  <dimension ref="A1:J1081"/>
  <sheetViews>
    <sheetView workbookViewId="0">
      <selection activeCell="A14" sqref="A14"/>
    </sheetView>
  </sheetViews>
  <sheetFormatPr defaultRowHeight="15" x14ac:dyDescent="0.25"/>
  <cols>
    <col min="1" max="1" width="12.7109375" customWidth="1"/>
    <col min="2" max="2" width="16.140625" customWidth="1"/>
    <col min="3" max="3" width="14.7109375" customWidth="1"/>
    <col min="4" max="5" width="9.140625" customWidth="1"/>
  </cols>
  <sheetData>
    <row r="1" spans="1:10" x14ac:dyDescent="0.25">
      <c r="A1" t="s">
        <v>36</v>
      </c>
      <c r="B1" t="s">
        <v>43</v>
      </c>
      <c r="C1" t="s">
        <v>44</v>
      </c>
      <c r="D1" s="1"/>
      <c r="E1" s="1"/>
      <c r="F1" s="1"/>
      <c r="G1" s="1"/>
      <c r="H1" s="1"/>
      <c r="I1" s="1"/>
      <c r="J1" s="1"/>
    </row>
    <row r="2" spans="1:10" x14ac:dyDescent="0.25">
      <c r="A2" s="17">
        <v>1088638</v>
      </c>
      <c r="B2" s="1">
        <v>46022</v>
      </c>
      <c r="C2">
        <v>30</v>
      </c>
      <c r="F2" s="4"/>
      <c r="G2" s="4"/>
      <c r="H2" s="4"/>
    </row>
    <row r="3" spans="1:10" x14ac:dyDescent="0.25">
      <c r="A3" s="17">
        <v>1253167</v>
      </c>
      <c r="B3" s="1">
        <v>46022</v>
      </c>
      <c r="C3">
        <v>12</v>
      </c>
      <c r="F3" s="4"/>
      <c r="G3" s="4"/>
      <c r="H3" s="4"/>
    </row>
    <row r="4" spans="1:10" x14ac:dyDescent="0.25">
      <c r="A4" s="17">
        <v>1331817</v>
      </c>
      <c r="B4" s="1">
        <v>46022</v>
      </c>
      <c r="C4">
        <v>30</v>
      </c>
      <c r="F4" s="4"/>
      <c r="G4" s="4"/>
      <c r="H4" s="4"/>
    </row>
    <row r="5" spans="1:10" x14ac:dyDescent="0.25">
      <c r="A5" s="17">
        <v>1711217</v>
      </c>
      <c r="B5" s="1">
        <v>46022</v>
      </c>
      <c r="C5">
        <v>26</v>
      </c>
      <c r="F5" s="4"/>
      <c r="G5" s="4"/>
      <c r="H5" s="4"/>
    </row>
    <row r="6" spans="1:10" x14ac:dyDescent="0.25">
      <c r="A6" s="17">
        <v>2012714</v>
      </c>
      <c r="B6" s="1">
        <v>46022</v>
      </c>
      <c r="C6">
        <v>14</v>
      </c>
      <c r="F6" s="4"/>
      <c r="G6" s="4"/>
      <c r="H6" s="4"/>
    </row>
    <row r="7" spans="1:10" x14ac:dyDescent="0.25">
      <c r="A7" s="17">
        <v>2310329</v>
      </c>
      <c r="B7" s="1">
        <v>46022</v>
      </c>
      <c r="C7">
        <v>17</v>
      </c>
      <c r="F7" s="4"/>
      <c r="G7" s="4"/>
      <c r="H7" s="4"/>
    </row>
    <row r="8" spans="1:10" x14ac:dyDescent="0.25">
      <c r="A8" s="17">
        <v>2424707</v>
      </c>
      <c r="B8" s="1">
        <v>46022</v>
      </c>
      <c r="C8">
        <v>28</v>
      </c>
      <c r="F8" s="4"/>
      <c r="G8" s="4"/>
      <c r="H8" s="4"/>
    </row>
    <row r="9" spans="1:10" x14ac:dyDescent="0.25">
      <c r="A9" s="17">
        <v>2732499</v>
      </c>
      <c r="B9" s="1">
        <v>46022</v>
      </c>
      <c r="C9">
        <v>16</v>
      </c>
      <c r="F9" s="4"/>
      <c r="G9" s="4"/>
      <c r="H9" s="4"/>
    </row>
    <row r="10" spans="1:10" x14ac:dyDescent="0.25">
      <c r="A10" s="17">
        <v>2858379</v>
      </c>
      <c r="B10" s="1">
        <v>46022</v>
      </c>
      <c r="C10">
        <v>14</v>
      </c>
      <c r="F10" s="4"/>
      <c r="G10" s="4"/>
      <c r="H10" s="4"/>
    </row>
    <row r="11" spans="1:10" x14ac:dyDescent="0.25">
      <c r="A11" s="17">
        <v>2982488</v>
      </c>
      <c r="B11" s="1">
        <v>46022</v>
      </c>
      <c r="C11">
        <v>17</v>
      </c>
      <c r="F11" s="4"/>
      <c r="G11" s="4"/>
      <c r="H11" s="4"/>
    </row>
    <row r="12" spans="1:10" x14ac:dyDescent="0.25">
      <c r="A12" s="17">
        <v>3894456</v>
      </c>
      <c r="B12" s="1">
        <v>46022</v>
      </c>
      <c r="C12">
        <v>19</v>
      </c>
      <c r="F12" s="4"/>
      <c r="G12" s="4"/>
      <c r="H12" s="4"/>
    </row>
    <row r="13" spans="1:10" x14ac:dyDescent="0.25">
      <c r="A13" s="17">
        <v>4255235</v>
      </c>
      <c r="B13" s="1">
        <v>46022</v>
      </c>
      <c r="C13">
        <v>20</v>
      </c>
      <c r="F13" s="4"/>
      <c r="G13" s="4"/>
      <c r="H13" s="4"/>
    </row>
    <row r="14" spans="1:10" x14ac:dyDescent="0.25">
      <c r="A14" s="17">
        <v>5619128</v>
      </c>
      <c r="B14" s="1">
        <v>46022</v>
      </c>
      <c r="C14">
        <v>25</v>
      </c>
      <c r="F14" s="4"/>
      <c r="G14" s="4"/>
      <c r="H14" s="4"/>
    </row>
    <row r="15" spans="1:10" x14ac:dyDescent="0.25">
      <c r="A15" s="17">
        <v>5624747</v>
      </c>
      <c r="B15" s="1">
        <v>46022</v>
      </c>
      <c r="C15">
        <v>12</v>
      </c>
      <c r="F15" s="4"/>
      <c r="G15" s="4"/>
      <c r="H15" s="4"/>
    </row>
    <row r="16" spans="1:10" x14ac:dyDescent="0.25">
      <c r="A16" s="17">
        <v>6230104</v>
      </c>
      <c r="B16" s="1">
        <v>46022</v>
      </c>
      <c r="C16">
        <v>23</v>
      </c>
      <c r="F16" s="4"/>
      <c r="G16" s="4"/>
      <c r="H16" s="4"/>
    </row>
    <row r="17" spans="1:8" x14ac:dyDescent="0.25">
      <c r="A17" s="17">
        <v>6334728</v>
      </c>
      <c r="B17" s="1">
        <v>46022</v>
      </c>
      <c r="C17">
        <v>35</v>
      </c>
      <c r="F17" s="4"/>
      <c r="G17" s="4"/>
      <c r="H17" s="4"/>
    </row>
    <row r="18" spans="1:8" x14ac:dyDescent="0.25">
      <c r="A18" s="17">
        <v>6341525</v>
      </c>
      <c r="B18" s="1">
        <v>46022</v>
      </c>
      <c r="C18">
        <v>7</v>
      </c>
      <c r="F18" s="4"/>
      <c r="G18" s="4"/>
      <c r="H18" s="4"/>
    </row>
    <row r="19" spans="1:8" x14ac:dyDescent="0.25">
      <c r="A19" s="17">
        <v>6825224</v>
      </c>
      <c r="B19" s="1">
        <v>46022</v>
      </c>
      <c r="C19">
        <v>13</v>
      </c>
      <c r="F19" s="4"/>
      <c r="G19" s="4"/>
      <c r="H19" s="4"/>
    </row>
    <row r="20" spans="1:8" x14ac:dyDescent="0.25">
      <c r="A20" s="17">
        <v>6828260</v>
      </c>
      <c r="B20" s="1">
        <v>46022</v>
      </c>
      <c r="C20">
        <v>13</v>
      </c>
      <c r="F20" s="4"/>
      <c r="G20" s="4"/>
      <c r="H20" s="4"/>
    </row>
    <row r="21" spans="1:8" x14ac:dyDescent="0.25">
      <c r="A21" s="17">
        <v>7023463</v>
      </c>
      <c r="B21" s="1">
        <v>46022</v>
      </c>
      <c r="C21">
        <v>15</v>
      </c>
      <c r="F21" s="4"/>
      <c r="G21" s="4"/>
      <c r="H21" s="4"/>
    </row>
    <row r="22" spans="1:8" x14ac:dyDescent="0.25">
      <c r="A22" s="17">
        <v>7165581</v>
      </c>
      <c r="B22" s="1">
        <v>46022</v>
      </c>
      <c r="C22">
        <v>13</v>
      </c>
      <c r="F22" s="4"/>
      <c r="G22" s="4"/>
      <c r="H22" s="4"/>
    </row>
    <row r="23" spans="1:8" x14ac:dyDescent="0.25">
      <c r="A23" s="17">
        <v>7747619</v>
      </c>
      <c r="B23" s="1">
        <v>46022</v>
      </c>
      <c r="C23">
        <v>35</v>
      </c>
      <c r="F23" s="4"/>
      <c r="G23" s="4"/>
      <c r="H23" s="4"/>
    </row>
    <row r="24" spans="1:8" x14ac:dyDescent="0.25">
      <c r="A24" s="17">
        <v>7944400</v>
      </c>
      <c r="B24" s="1">
        <v>46022</v>
      </c>
      <c r="C24">
        <v>22</v>
      </c>
      <c r="F24" s="4"/>
      <c r="G24" s="4"/>
      <c r="H24" s="4"/>
    </row>
    <row r="25" spans="1:8" x14ac:dyDescent="0.25">
      <c r="A25" s="17">
        <v>8306905</v>
      </c>
      <c r="B25" s="1">
        <v>46022</v>
      </c>
      <c r="C25">
        <v>21</v>
      </c>
      <c r="F25" s="4"/>
      <c r="G25" s="4"/>
      <c r="H25" s="4"/>
    </row>
    <row r="26" spans="1:8" x14ac:dyDescent="0.25">
      <c r="A26" s="17">
        <v>8405468</v>
      </c>
      <c r="B26" s="1">
        <v>46022</v>
      </c>
      <c r="C26">
        <v>15</v>
      </c>
      <c r="F26" s="4"/>
      <c r="G26" s="4"/>
      <c r="H26" s="4"/>
    </row>
    <row r="27" spans="1:8" x14ac:dyDescent="0.25">
      <c r="A27" s="17">
        <v>8551457</v>
      </c>
      <c r="B27" s="1">
        <v>46022</v>
      </c>
      <c r="C27">
        <v>21</v>
      </c>
      <c r="F27" s="4"/>
      <c r="G27" s="4"/>
      <c r="H27" s="4"/>
    </row>
    <row r="28" spans="1:8" x14ac:dyDescent="0.25">
      <c r="A28" s="17">
        <v>8860153</v>
      </c>
      <c r="B28" s="1">
        <v>46022</v>
      </c>
      <c r="C28">
        <v>7</v>
      </c>
      <c r="F28" s="4"/>
      <c r="G28" s="4"/>
      <c r="H28" s="4"/>
    </row>
    <row r="29" spans="1:8" x14ac:dyDescent="0.25">
      <c r="A29" s="17">
        <v>9044404</v>
      </c>
      <c r="B29" s="1">
        <v>46022</v>
      </c>
      <c r="C29">
        <v>19</v>
      </c>
      <c r="F29" s="4"/>
      <c r="G29" s="4"/>
      <c r="H29" s="4"/>
    </row>
    <row r="30" spans="1:8" x14ac:dyDescent="0.25">
      <c r="A30" s="17">
        <v>9115955</v>
      </c>
      <c r="B30" s="1">
        <v>46022</v>
      </c>
      <c r="C30">
        <v>15</v>
      </c>
      <c r="F30" s="4"/>
      <c r="G30" s="4"/>
      <c r="H30" s="4"/>
    </row>
    <row r="31" spans="1:8" x14ac:dyDescent="0.25">
      <c r="A31" s="17">
        <v>9292315</v>
      </c>
      <c r="B31" s="1">
        <v>46022</v>
      </c>
      <c r="C31">
        <v>28</v>
      </c>
      <c r="F31" s="4"/>
      <c r="G31" s="4"/>
      <c r="H31" s="4"/>
    </row>
    <row r="32" spans="1:8" x14ac:dyDescent="0.25">
      <c r="A32" s="17">
        <v>1088638</v>
      </c>
      <c r="B32" s="1">
        <v>46023</v>
      </c>
      <c r="C32">
        <v>24</v>
      </c>
    </row>
    <row r="33" spans="1:3" x14ac:dyDescent="0.25">
      <c r="A33" s="17">
        <v>1253167</v>
      </c>
      <c r="B33" s="1">
        <v>46023</v>
      </c>
      <c r="C33">
        <v>6</v>
      </c>
    </row>
    <row r="34" spans="1:3" x14ac:dyDescent="0.25">
      <c r="A34" s="17">
        <v>1331817</v>
      </c>
      <c r="B34" s="1">
        <v>46023</v>
      </c>
      <c r="C34">
        <v>30</v>
      </c>
    </row>
    <row r="35" spans="1:3" x14ac:dyDescent="0.25">
      <c r="A35" s="17">
        <v>1711217</v>
      </c>
      <c r="B35" s="1">
        <v>46023</v>
      </c>
      <c r="C35">
        <v>23</v>
      </c>
    </row>
    <row r="36" spans="1:3" x14ac:dyDescent="0.25">
      <c r="A36" s="17">
        <v>2012714</v>
      </c>
      <c r="B36" s="1">
        <v>46023</v>
      </c>
      <c r="C36">
        <v>14</v>
      </c>
    </row>
    <row r="37" spans="1:3" x14ac:dyDescent="0.25">
      <c r="A37" s="17">
        <v>2310329</v>
      </c>
      <c r="B37" s="1">
        <v>46023</v>
      </c>
      <c r="C37">
        <v>17</v>
      </c>
    </row>
    <row r="38" spans="1:3" x14ac:dyDescent="0.25">
      <c r="A38" s="17">
        <v>2424707</v>
      </c>
      <c r="B38" s="1">
        <v>46023</v>
      </c>
      <c r="C38">
        <v>28</v>
      </c>
    </row>
    <row r="39" spans="1:3" x14ac:dyDescent="0.25">
      <c r="A39" s="17">
        <v>2732499</v>
      </c>
      <c r="B39" s="1">
        <v>46023</v>
      </c>
      <c r="C39">
        <v>12</v>
      </c>
    </row>
    <row r="40" spans="1:3" x14ac:dyDescent="0.25">
      <c r="A40" s="17">
        <v>2858379</v>
      </c>
      <c r="B40" s="1">
        <v>46023</v>
      </c>
      <c r="C40">
        <v>14</v>
      </c>
    </row>
    <row r="41" spans="1:3" x14ac:dyDescent="0.25">
      <c r="A41" s="17">
        <v>2982488</v>
      </c>
      <c r="B41" s="1">
        <v>46023</v>
      </c>
      <c r="C41">
        <v>17</v>
      </c>
    </row>
    <row r="42" spans="1:3" x14ac:dyDescent="0.25">
      <c r="A42" s="17">
        <v>3894456</v>
      </c>
      <c r="B42" s="1">
        <v>46023</v>
      </c>
      <c r="C42">
        <v>16</v>
      </c>
    </row>
    <row r="43" spans="1:3" x14ac:dyDescent="0.25">
      <c r="A43" s="17">
        <v>4255235</v>
      </c>
      <c r="B43" s="1">
        <v>46023</v>
      </c>
      <c r="C43">
        <v>17</v>
      </c>
    </row>
    <row r="44" spans="1:3" x14ac:dyDescent="0.25">
      <c r="A44" s="17">
        <v>5619128</v>
      </c>
      <c r="B44" s="1">
        <v>46023</v>
      </c>
      <c r="C44">
        <v>23</v>
      </c>
    </row>
    <row r="45" spans="1:3" x14ac:dyDescent="0.25">
      <c r="A45" s="17">
        <v>5624747</v>
      </c>
      <c r="B45" s="1">
        <v>46023</v>
      </c>
      <c r="C45">
        <v>12</v>
      </c>
    </row>
    <row r="46" spans="1:3" x14ac:dyDescent="0.25">
      <c r="A46" s="17">
        <v>6230104</v>
      </c>
      <c r="B46" s="1">
        <v>46023</v>
      </c>
      <c r="C46">
        <v>23</v>
      </c>
    </row>
    <row r="47" spans="1:3" x14ac:dyDescent="0.25">
      <c r="A47" s="17">
        <v>6334728</v>
      </c>
      <c r="B47" s="1">
        <v>46023</v>
      </c>
      <c r="C47">
        <v>35</v>
      </c>
    </row>
    <row r="48" spans="1:3" x14ac:dyDescent="0.25">
      <c r="A48" s="17">
        <v>6341525</v>
      </c>
      <c r="B48" s="1">
        <v>46023</v>
      </c>
      <c r="C48">
        <v>7</v>
      </c>
    </row>
    <row r="49" spans="1:3" x14ac:dyDescent="0.25">
      <c r="A49" s="17">
        <v>6825224</v>
      </c>
      <c r="B49" s="1">
        <v>46023</v>
      </c>
      <c r="C49">
        <v>13</v>
      </c>
    </row>
    <row r="50" spans="1:3" x14ac:dyDescent="0.25">
      <c r="A50" s="17">
        <v>6828260</v>
      </c>
      <c r="B50" s="1">
        <v>46023</v>
      </c>
      <c r="C50">
        <v>13</v>
      </c>
    </row>
    <row r="51" spans="1:3" x14ac:dyDescent="0.25">
      <c r="A51" s="17">
        <v>7023463</v>
      </c>
      <c r="B51" s="1">
        <v>46023</v>
      </c>
      <c r="C51">
        <v>15</v>
      </c>
    </row>
    <row r="52" spans="1:3" x14ac:dyDescent="0.25">
      <c r="A52" s="17">
        <v>7165581</v>
      </c>
      <c r="B52" s="1">
        <v>46023</v>
      </c>
      <c r="C52">
        <v>13</v>
      </c>
    </row>
    <row r="53" spans="1:3" x14ac:dyDescent="0.25">
      <c r="A53" s="17">
        <v>7747619</v>
      </c>
      <c r="B53" s="1">
        <v>46023</v>
      </c>
      <c r="C53">
        <v>35</v>
      </c>
    </row>
    <row r="54" spans="1:3" x14ac:dyDescent="0.25">
      <c r="A54" s="17">
        <v>7944400</v>
      </c>
      <c r="B54" s="1">
        <v>46023</v>
      </c>
      <c r="C54">
        <v>22</v>
      </c>
    </row>
    <row r="55" spans="1:3" x14ac:dyDescent="0.25">
      <c r="A55" s="17">
        <v>8306905</v>
      </c>
      <c r="B55" s="1">
        <v>46023</v>
      </c>
      <c r="C55">
        <v>21</v>
      </c>
    </row>
    <row r="56" spans="1:3" x14ac:dyDescent="0.25">
      <c r="A56" s="17">
        <v>8405468</v>
      </c>
      <c r="B56" s="1">
        <v>46023</v>
      </c>
      <c r="C56">
        <v>14</v>
      </c>
    </row>
    <row r="57" spans="1:3" x14ac:dyDescent="0.25">
      <c r="A57" s="17">
        <v>8551457</v>
      </c>
      <c r="B57" s="1">
        <v>46023</v>
      </c>
      <c r="C57">
        <v>21</v>
      </c>
    </row>
    <row r="58" spans="1:3" x14ac:dyDescent="0.25">
      <c r="A58" s="17">
        <v>8860153</v>
      </c>
      <c r="B58" s="1">
        <v>46023</v>
      </c>
      <c r="C58">
        <v>7</v>
      </c>
    </row>
    <row r="59" spans="1:3" x14ac:dyDescent="0.25">
      <c r="A59" s="17">
        <v>9044404</v>
      </c>
      <c r="B59" s="1">
        <v>46023</v>
      </c>
      <c r="C59">
        <v>19</v>
      </c>
    </row>
    <row r="60" spans="1:3" x14ac:dyDescent="0.25">
      <c r="A60" s="17">
        <v>9115955</v>
      </c>
      <c r="B60" s="1">
        <v>46023</v>
      </c>
      <c r="C60">
        <v>15</v>
      </c>
    </row>
    <row r="61" spans="1:3" x14ac:dyDescent="0.25">
      <c r="A61" s="17">
        <v>9292315</v>
      </c>
      <c r="B61" s="1">
        <v>46023</v>
      </c>
      <c r="C61">
        <v>26</v>
      </c>
    </row>
    <row r="62" spans="1:3" x14ac:dyDescent="0.25">
      <c r="A62" s="17">
        <v>1088638</v>
      </c>
      <c r="B62" s="1">
        <v>46024</v>
      </c>
      <c r="C62">
        <v>24</v>
      </c>
    </row>
    <row r="63" spans="1:3" x14ac:dyDescent="0.25">
      <c r="A63" s="17">
        <v>1253167</v>
      </c>
      <c r="B63" s="1">
        <v>46024</v>
      </c>
      <c r="C63">
        <v>3</v>
      </c>
    </row>
    <row r="64" spans="1:3" x14ac:dyDescent="0.25">
      <c r="A64" s="17">
        <v>1331817</v>
      </c>
      <c r="B64" s="1">
        <v>46024</v>
      </c>
      <c r="C64">
        <v>24</v>
      </c>
    </row>
    <row r="65" spans="1:3" x14ac:dyDescent="0.25">
      <c r="A65" s="17">
        <v>1711217</v>
      </c>
      <c r="B65" s="1">
        <v>46024</v>
      </c>
      <c r="C65">
        <v>23</v>
      </c>
    </row>
    <row r="66" spans="1:3" x14ac:dyDescent="0.25">
      <c r="A66" s="17">
        <v>2012714</v>
      </c>
      <c r="B66" s="1">
        <v>46024</v>
      </c>
      <c r="C66">
        <v>14</v>
      </c>
    </row>
    <row r="67" spans="1:3" x14ac:dyDescent="0.25">
      <c r="A67" s="17">
        <v>2310329</v>
      </c>
      <c r="B67" s="1">
        <v>46024</v>
      </c>
      <c r="C67">
        <v>17</v>
      </c>
    </row>
    <row r="68" spans="1:3" x14ac:dyDescent="0.25">
      <c r="A68" s="17">
        <v>2424707</v>
      </c>
      <c r="B68" s="1">
        <v>46024</v>
      </c>
      <c r="C68">
        <v>28</v>
      </c>
    </row>
    <row r="69" spans="1:3" x14ac:dyDescent="0.25">
      <c r="A69" s="17">
        <v>2732499</v>
      </c>
      <c r="B69" s="1">
        <v>46024</v>
      </c>
      <c r="C69">
        <v>9</v>
      </c>
    </row>
    <row r="70" spans="1:3" x14ac:dyDescent="0.25">
      <c r="A70" s="17">
        <v>2858379</v>
      </c>
      <c r="B70" s="1">
        <v>46024</v>
      </c>
      <c r="C70">
        <v>14</v>
      </c>
    </row>
    <row r="71" spans="1:3" x14ac:dyDescent="0.25">
      <c r="A71" s="17">
        <v>2982488</v>
      </c>
      <c r="B71" s="1">
        <v>46024</v>
      </c>
      <c r="C71">
        <v>17</v>
      </c>
    </row>
    <row r="72" spans="1:3" x14ac:dyDescent="0.25">
      <c r="A72" s="17">
        <v>3894456</v>
      </c>
      <c r="B72" s="1">
        <v>46024</v>
      </c>
      <c r="C72">
        <v>14</v>
      </c>
    </row>
    <row r="73" spans="1:3" x14ac:dyDescent="0.25">
      <c r="A73" s="17">
        <v>4255235</v>
      </c>
      <c r="B73" s="1">
        <v>46024</v>
      </c>
      <c r="C73">
        <v>17</v>
      </c>
    </row>
    <row r="74" spans="1:3" x14ac:dyDescent="0.25">
      <c r="A74" s="17">
        <v>5619128</v>
      </c>
      <c r="B74" s="1">
        <v>46024</v>
      </c>
      <c r="C74">
        <v>23</v>
      </c>
    </row>
    <row r="75" spans="1:3" x14ac:dyDescent="0.25">
      <c r="A75" s="17">
        <v>5624747</v>
      </c>
      <c r="B75" s="1">
        <v>46024</v>
      </c>
      <c r="C75">
        <v>12</v>
      </c>
    </row>
    <row r="76" spans="1:3" x14ac:dyDescent="0.25">
      <c r="A76" s="17">
        <v>6230104</v>
      </c>
      <c r="B76" s="1">
        <v>46024</v>
      </c>
      <c r="C76">
        <v>23</v>
      </c>
    </row>
    <row r="77" spans="1:3" x14ac:dyDescent="0.25">
      <c r="A77" s="17">
        <v>6334728</v>
      </c>
      <c r="B77" s="1">
        <v>46024</v>
      </c>
      <c r="C77">
        <v>29</v>
      </c>
    </row>
    <row r="78" spans="1:3" x14ac:dyDescent="0.25">
      <c r="A78" s="17">
        <v>6341525</v>
      </c>
      <c r="B78" s="1">
        <v>46024</v>
      </c>
      <c r="C78">
        <v>7</v>
      </c>
    </row>
    <row r="79" spans="1:3" x14ac:dyDescent="0.25">
      <c r="A79" s="17">
        <v>6825224</v>
      </c>
      <c r="B79" s="1">
        <v>46024</v>
      </c>
      <c r="C79">
        <v>13</v>
      </c>
    </row>
    <row r="80" spans="1:3" x14ac:dyDescent="0.25">
      <c r="A80" s="17">
        <v>6828260</v>
      </c>
      <c r="B80" s="1">
        <v>46024</v>
      </c>
      <c r="C80">
        <v>12</v>
      </c>
    </row>
    <row r="81" spans="1:3" x14ac:dyDescent="0.25">
      <c r="A81" s="17">
        <v>7023463</v>
      </c>
      <c r="B81" s="1">
        <v>46024</v>
      </c>
      <c r="C81">
        <v>15</v>
      </c>
    </row>
    <row r="82" spans="1:3" x14ac:dyDescent="0.25">
      <c r="A82" s="17">
        <v>7165581</v>
      </c>
      <c r="B82" s="1">
        <v>46024</v>
      </c>
      <c r="C82">
        <v>13</v>
      </c>
    </row>
    <row r="83" spans="1:3" x14ac:dyDescent="0.25">
      <c r="A83" s="17">
        <v>7747619</v>
      </c>
      <c r="B83" s="1">
        <v>46024</v>
      </c>
      <c r="C83">
        <v>35</v>
      </c>
    </row>
    <row r="84" spans="1:3" x14ac:dyDescent="0.25">
      <c r="A84" s="17">
        <v>7944400</v>
      </c>
      <c r="B84" s="1">
        <v>46024</v>
      </c>
      <c r="C84">
        <v>22</v>
      </c>
    </row>
    <row r="85" spans="1:3" x14ac:dyDescent="0.25">
      <c r="A85" s="17">
        <v>8306905</v>
      </c>
      <c r="B85" s="1">
        <v>46024</v>
      </c>
      <c r="C85">
        <v>18</v>
      </c>
    </row>
    <row r="86" spans="1:3" x14ac:dyDescent="0.25">
      <c r="A86" s="17">
        <v>8405468</v>
      </c>
      <c r="B86" s="1">
        <v>46024</v>
      </c>
      <c r="C86">
        <v>7</v>
      </c>
    </row>
    <row r="87" spans="1:3" x14ac:dyDescent="0.25">
      <c r="A87" s="17">
        <v>8551457</v>
      </c>
      <c r="B87" s="1">
        <v>46024</v>
      </c>
      <c r="C87">
        <v>21</v>
      </c>
    </row>
    <row r="88" spans="1:3" x14ac:dyDescent="0.25">
      <c r="A88" s="17">
        <v>8860153</v>
      </c>
      <c r="B88" s="1">
        <v>46024</v>
      </c>
      <c r="C88">
        <v>7</v>
      </c>
    </row>
    <row r="89" spans="1:3" x14ac:dyDescent="0.25">
      <c r="A89" s="17">
        <v>9044404</v>
      </c>
      <c r="B89" s="1">
        <v>46024</v>
      </c>
      <c r="C89">
        <v>17</v>
      </c>
    </row>
    <row r="90" spans="1:3" x14ac:dyDescent="0.25">
      <c r="A90" s="17">
        <v>9115955</v>
      </c>
      <c r="B90" s="1">
        <v>46024</v>
      </c>
      <c r="C90">
        <v>15</v>
      </c>
    </row>
    <row r="91" spans="1:3" x14ac:dyDescent="0.25">
      <c r="A91" s="17">
        <v>9292315</v>
      </c>
      <c r="B91" s="1">
        <v>46024</v>
      </c>
      <c r="C91">
        <v>25</v>
      </c>
    </row>
    <row r="92" spans="1:3" x14ac:dyDescent="0.25">
      <c r="A92" s="17">
        <v>1088638</v>
      </c>
      <c r="B92" s="1">
        <v>46025</v>
      </c>
      <c r="C92">
        <v>24</v>
      </c>
    </row>
    <row r="93" spans="1:3" x14ac:dyDescent="0.25">
      <c r="A93" s="17">
        <v>1253167</v>
      </c>
      <c r="B93" s="1">
        <v>46025</v>
      </c>
      <c r="C93">
        <v>0</v>
      </c>
    </row>
    <row r="94" spans="1:3" x14ac:dyDescent="0.25">
      <c r="A94" s="17">
        <v>1331817</v>
      </c>
      <c r="B94" s="1">
        <v>46025</v>
      </c>
      <c r="C94">
        <v>24</v>
      </c>
    </row>
    <row r="95" spans="1:3" x14ac:dyDescent="0.25">
      <c r="A95" s="17">
        <v>1711217</v>
      </c>
      <c r="B95" s="1">
        <v>46025</v>
      </c>
      <c r="C95">
        <v>19</v>
      </c>
    </row>
    <row r="96" spans="1:3" x14ac:dyDescent="0.25">
      <c r="A96" s="17">
        <v>2012714</v>
      </c>
      <c r="B96" s="1">
        <v>46025</v>
      </c>
      <c r="C96">
        <v>14</v>
      </c>
    </row>
    <row r="97" spans="1:3" x14ac:dyDescent="0.25">
      <c r="A97" s="17">
        <v>2310329</v>
      </c>
      <c r="B97" s="1">
        <v>46025</v>
      </c>
      <c r="C97">
        <v>17</v>
      </c>
    </row>
    <row r="98" spans="1:3" x14ac:dyDescent="0.25">
      <c r="A98" s="17">
        <v>2424707</v>
      </c>
      <c r="B98" s="1">
        <v>46025</v>
      </c>
      <c r="C98">
        <v>28</v>
      </c>
    </row>
    <row r="99" spans="1:3" x14ac:dyDescent="0.25">
      <c r="A99" s="17">
        <v>2732499</v>
      </c>
      <c r="B99" s="1">
        <v>46025</v>
      </c>
      <c r="C99">
        <v>9</v>
      </c>
    </row>
    <row r="100" spans="1:3" x14ac:dyDescent="0.25">
      <c r="A100" s="17">
        <v>2858379</v>
      </c>
      <c r="B100" s="1">
        <v>46025</v>
      </c>
      <c r="C100">
        <v>12</v>
      </c>
    </row>
    <row r="101" spans="1:3" x14ac:dyDescent="0.25">
      <c r="A101" s="17">
        <v>2982488</v>
      </c>
      <c r="B101" s="1">
        <v>46025</v>
      </c>
      <c r="C101">
        <v>17</v>
      </c>
    </row>
    <row r="102" spans="1:3" x14ac:dyDescent="0.25">
      <c r="A102" s="17">
        <v>3894456</v>
      </c>
      <c r="B102" s="1">
        <v>46025</v>
      </c>
      <c r="C102">
        <v>11</v>
      </c>
    </row>
    <row r="103" spans="1:3" x14ac:dyDescent="0.25">
      <c r="A103" s="17">
        <v>4255235</v>
      </c>
      <c r="B103" s="1">
        <v>46025</v>
      </c>
      <c r="C103">
        <v>17</v>
      </c>
    </row>
    <row r="104" spans="1:3" x14ac:dyDescent="0.25">
      <c r="A104" s="17">
        <v>5619128</v>
      </c>
      <c r="B104" s="1">
        <v>46025</v>
      </c>
      <c r="C104">
        <v>21</v>
      </c>
    </row>
    <row r="105" spans="1:3" x14ac:dyDescent="0.25">
      <c r="A105" s="17">
        <v>5624747</v>
      </c>
      <c r="B105" s="1">
        <v>46025</v>
      </c>
      <c r="C105">
        <v>12</v>
      </c>
    </row>
    <row r="106" spans="1:3" x14ac:dyDescent="0.25">
      <c r="A106" s="17">
        <v>6230104</v>
      </c>
      <c r="B106" s="1">
        <v>46025</v>
      </c>
      <c r="C106">
        <v>23</v>
      </c>
    </row>
    <row r="107" spans="1:3" x14ac:dyDescent="0.25">
      <c r="A107" s="17">
        <v>6334728</v>
      </c>
      <c r="B107" s="1">
        <v>46025</v>
      </c>
      <c r="C107">
        <v>27</v>
      </c>
    </row>
    <row r="108" spans="1:3" x14ac:dyDescent="0.25">
      <c r="A108" s="17">
        <v>6341525</v>
      </c>
      <c r="B108" s="1">
        <v>46025</v>
      </c>
      <c r="C108">
        <v>7</v>
      </c>
    </row>
    <row r="109" spans="1:3" x14ac:dyDescent="0.25">
      <c r="A109" s="17">
        <v>6825224</v>
      </c>
      <c r="B109" s="1">
        <v>46025</v>
      </c>
      <c r="C109">
        <v>13</v>
      </c>
    </row>
    <row r="110" spans="1:3" x14ac:dyDescent="0.25">
      <c r="A110" s="17">
        <v>6828260</v>
      </c>
      <c r="B110" s="1">
        <v>46025</v>
      </c>
      <c r="C110">
        <v>12</v>
      </c>
    </row>
    <row r="111" spans="1:3" x14ac:dyDescent="0.25">
      <c r="A111" s="17">
        <v>7023463</v>
      </c>
      <c r="B111" s="1">
        <v>46025</v>
      </c>
      <c r="C111">
        <v>15</v>
      </c>
    </row>
    <row r="112" spans="1:3" x14ac:dyDescent="0.25">
      <c r="A112" s="17">
        <v>7165581</v>
      </c>
      <c r="B112" s="1">
        <v>46025</v>
      </c>
      <c r="C112">
        <v>7</v>
      </c>
    </row>
    <row r="113" spans="1:3" x14ac:dyDescent="0.25">
      <c r="A113" s="17">
        <v>7747619</v>
      </c>
      <c r="B113" s="1">
        <v>46025</v>
      </c>
      <c r="C113">
        <v>35</v>
      </c>
    </row>
    <row r="114" spans="1:3" x14ac:dyDescent="0.25">
      <c r="A114" s="17">
        <v>7944400</v>
      </c>
      <c r="B114" s="1">
        <v>46025</v>
      </c>
      <c r="C114">
        <v>22</v>
      </c>
    </row>
    <row r="115" spans="1:3" x14ac:dyDescent="0.25">
      <c r="A115" s="17">
        <v>8306905</v>
      </c>
      <c r="B115" s="1">
        <v>46025</v>
      </c>
      <c r="C115">
        <v>13</v>
      </c>
    </row>
    <row r="116" spans="1:3" x14ac:dyDescent="0.25">
      <c r="A116" s="17">
        <v>8405468</v>
      </c>
      <c r="B116" s="1">
        <v>46025</v>
      </c>
      <c r="C116">
        <v>1</v>
      </c>
    </row>
    <row r="117" spans="1:3" x14ac:dyDescent="0.25">
      <c r="A117" s="17">
        <v>8551457</v>
      </c>
      <c r="B117" s="1">
        <v>46025</v>
      </c>
      <c r="C117">
        <v>21</v>
      </c>
    </row>
    <row r="118" spans="1:3" x14ac:dyDescent="0.25">
      <c r="A118" s="17">
        <v>8860153</v>
      </c>
      <c r="B118" s="1">
        <v>46025</v>
      </c>
      <c r="C118">
        <v>7</v>
      </c>
    </row>
    <row r="119" spans="1:3" x14ac:dyDescent="0.25">
      <c r="A119" s="17">
        <v>9044404</v>
      </c>
      <c r="B119" s="1">
        <v>46025</v>
      </c>
      <c r="C119">
        <v>17</v>
      </c>
    </row>
    <row r="120" spans="1:3" x14ac:dyDescent="0.25">
      <c r="A120" s="17">
        <v>9115955</v>
      </c>
      <c r="B120" s="1">
        <v>46025</v>
      </c>
      <c r="C120">
        <v>15</v>
      </c>
    </row>
    <row r="121" spans="1:3" x14ac:dyDescent="0.25">
      <c r="A121" s="17">
        <v>9292315</v>
      </c>
      <c r="B121" s="1">
        <v>46025</v>
      </c>
      <c r="C121">
        <v>23</v>
      </c>
    </row>
    <row r="122" spans="1:3" x14ac:dyDescent="0.25">
      <c r="A122" s="17">
        <v>1088638</v>
      </c>
      <c r="B122" s="1">
        <v>46026</v>
      </c>
      <c r="C122">
        <v>23</v>
      </c>
    </row>
    <row r="123" spans="1:3" x14ac:dyDescent="0.25">
      <c r="A123" s="17">
        <v>1253167</v>
      </c>
      <c r="B123" s="1">
        <v>46026</v>
      </c>
      <c r="C123">
        <v>0</v>
      </c>
    </row>
    <row r="124" spans="1:3" x14ac:dyDescent="0.25">
      <c r="A124" s="17">
        <v>1331817</v>
      </c>
      <c r="B124" s="1">
        <v>46026</v>
      </c>
      <c r="C124">
        <v>24</v>
      </c>
    </row>
    <row r="125" spans="1:3" x14ac:dyDescent="0.25">
      <c r="A125" s="17">
        <v>1711217</v>
      </c>
      <c r="B125" s="1">
        <v>46026</v>
      </c>
      <c r="C125">
        <v>16</v>
      </c>
    </row>
    <row r="126" spans="1:3" x14ac:dyDescent="0.25">
      <c r="A126" s="17">
        <v>2012714</v>
      </c>
      <c r="B126" s="1">
        <v>46026</v>
      </c>
      <c r="C126">
        <v>14</v>
      </c>
    </row>
    <row r="127" spans="1:3" x14ac:dyDescent="0.25">
      <c r="A127" s="17">
        <v>2310329</v>
      </c>
      <c r="B127" s="1">
        <v>46026</v>
      </c>
      <c r="C127">
        <v>17</v>
      </c>
    </row>
    <row r="128" spans="1:3" x14ac:dyDescent="0.25">
      <c r="A128" s="17">
        <v>2424707</v>
      </c>
      <c r="B128" s="1">
        <v>46026</v>
      </c>
      <c r="C128">
        <v>28</v>
      </c>
    </row>
    <row r="129" spans="1:3" x14ac:dyDescent="0.25">
      <c r="A129" s="17">
        <v>2732499</v>
      </c>
      <c r="B129" s="1">
        <v>46026</v>
      </c>
      <c r="C129">
        <v>3</v>
      </c>
    </row>
    <row r="130" spans="1:3" x14ac:dyDescent="0.25">
      <c r="A130" s="17">
        <v>2858379</v>
      </c>
      <c r="B130" s="1">
        <v>46026</v>
      </c>
      <c r="C130">
        <v>12</v>
      </c>
    </row>
    <row r="131" spans="1:3" x14ac:dyDescent="0.25">
      <c r="A131" s="17">
        <v>2982488</v>
      </c>
      <c r="B131" s="1">
        <v>46026</v>
      </c>
      <c r="C131">
        <v>17</v>
      </c>
    </row>
    <row r="132" spans="1:3" x14ac:dyDescent="0.25">
      <c r="A132" s="17">
        <v>3894456</v>
      </c>
      <c r="B132" s="1">
        <v>46026</v>
      </c>
      <c r="C132">
        <v>11</v>
      </c>
    </row>
    <row r="133" spans="1:3" x14ac:dyDescent="0.25">
      <c r="A133" s="17">
        <v>4255235</v>
      </c>
      <c r="B133" s="1">
        <v>46026</v>
      </c>
      <c r="C133">
        <v>17</v>
      </c>
    </row>
    <row r="134" spans="1:3" x14ac:dyDescent="0.25">
      <c r="A134" s="17">
        <v>5619128</v>
      </c>
      <c r="B134" s="1">
        <v>46026</v>
      </c>
      <c r="C134">
        <v>21</v>
      </c>
    </row>
    <row r="135" spans="1:3" x14ac:dyDescent="0.25">
      <c r="A135" s="17">
        <v>5624747</v>
      </c>
      <c r="B135" s="1">
        <v>46026</v>
      </c>
      <c r="C135">
        <v>12</v>
      </c>
    </row>
    <row r="136" spans="1:3" x14ac:dyDescent="0.25">
      <c r="A136" s="17">
        <v>6230104</v>
      </c>
      <c r="B136" s="1">
        <v>46026</v>
      </c>
      <c r="C136">
        <v>23</v>
      </c>
    </row>
    <row r="137" spans="1:3" x14ac:dyDescent="0.25">
      <c r="A137" s="17">
        <v>6334728</v>
      </c>
      <c r="B137" s="1">
        <v>46026</v>
      </c>
      <c r="C137">
        <v>25</v>
      </c>
    </row>
    <row r="138" spans="1:3" x14ac:dyDescent="0.25">
      <c r="A138" s="17">
        <v>6341525</v>
      </c>
      <c r="B138" s="1">
        <v>46026</v>
      </c>
      <c r="C138">
        <v>7</v>
      </c>
    </row>
    <row r="139" spans="1:3" x14ac:dyDescent="0.25">
      <c r="A139" s="17">
        <v>6825224</v>
      </c>
      <c r="B139" s="1">
        <v>46026</v>
      </c>
      <c r="C139">
        <v>12</v>
      </c>
    </row>
    <row r="140" spans="1:3" x14ac:dyDescent="0.25">
      <c r="A140" s="17">
        <v>6828260</v>
      </c>
      <c r="B140" s="1">
        <v>46026</v>
      </c>
      <c r="C140">
        <v>12</v>
      </c>
    </row>
    <row r="141" spans="1:3" x14ac:dyDescent="0.25">
      <c r="A141" s="17">
        <v>7023463</v>
      </c>
      <c r="B141" s="1">
        <v>46026</v>
      </c>
      <c r="C141">
        <v>12</v>
      </c>
    </row>
    <row r="142" spans="1:3" x14ac:dyDescent="0.25">
      <c r="A142" s="17">
        <v>7165581</v>
      </c>
      <c r="B142" s="1">
        <v>46026</v>
      </c>
      <c r="C142">
        <v>6</v>
      </c>
    </row>
    <row r="143" spans="1:3" x14ac:dyDescent="0.25">
      <c r="A143" s="17">
        <v>7747619</v>
      </c>
      <c r="B143" s="1">
        <v>46026</v>
      </c>
      <c r="C143">
        <v>35</v>
      </c>
    </row>
    <row r="144" spans="1:3" x14ac:dyDescent="0.25">
      <c r="A144" s="17">
        <v>7944400</v>
      </c>
      <c r="B144" s="1">
        <v>46026</v>
      </c>
      <c r="C144">
        <v>22</v>
      </c>
    </row>
    <row r="145" spans="1:3" x14ac:dyDescent="0.25">
      <c r="A145" s="17">
        <v>8306905</v>
      </c>
      <c r="B145" s="1">
        <v>46026</v>
      </c>
      <c r="C145">
        <v>12</v>
      </c>
    </row>
    <row r="146" spans="1:3" x14ac:dyDescent="0.25">
      <c r="A146" s="17">
        <v>8405468</v>
      </c>
      <c r="B146" s="1">
        <v>46026</v>
      </c>
      <c r="C146">
        <v>0</v>
      </c>
    </row>
    <row r="147" spans="1:3" x14ac:dyDescent="0.25">
      <c r="A147" s="17">
        <v>8551457</v>
      </c>
      <c r="B147" s="1">
        <v>46026</v>
      </c>
      <c r="C147">
        <v>21</v>
      </c>
    </row>
    <row r="148" spans="1:3" x14ac:dyDescent="0.25">
      <c r="A148" s="17">
        <v>8860153</v>
      </c>
      <c r="B148" s="1">
        <v>46026</v>
      </c>
      <c r="C148">
        <v>7</v>
      </c>
    </row>
    <row r="149" spans="1:3" x14ac:dyDescent="0.25">
      <c r="A149" s="17">
        <v>9044404</v>
      </c>
      <c r="B149" s="1">
        <v>46026</v>
      </c>
      <c r="C149">
        <v>17</v>
      </c>
    </row>
    <row r="150" spans="1:3" x14ac:dyDescent="0.25">
      <c r="A150" s="17">
        <v>9115955</v>
      </c>
      <c r="B150" s="1">
        <v>46026</v>
      </c>
      <c r="C150">
        <v>15</v>
      </c>
    </row>
    <row r="151" spans="1:3" x14ac:dyDescent="0.25">
      <c r="A151" s="17">
        <v>9292315</v>
      </c>
      <c r="B151" s="1">
        <v>46026</v>
      </c>
      <c r="C151">
        <v>18</v>
      </c>
    </row>
    <row r="152" spans="1:3" x14ac:dyDescent="0.25">
      <c r="A152" s="17">
        <v>1088638</v>
      </c>
      <c r="B152" s="1">
        <v>46027</v>
      </c>
      <c r="C152">
        <v>92</v>
      </c>
    </row>
    <row r="153" spans="1:3" x14ac:dyDescent="0.25">
      <c r="A153" s="17">
        <v>1253167</v>
      </c>
      <c r="B153" s="1">
        <v>46027</v>
      </c>
      <c r="C153">
        <v>19</v>
      </c>
    </row>
    <row r="154" spans="1:3" x14ac:dyDescent="0.25">
      <c r="A154" s="17">
        <v>1331817</v>
      </c>
      <c r="B154" s="1">
        <v>46027</v>
      </c>
      <c r="C154">
        <v>24</v>
      </c>
    </row>
    <row r="155" spans="1:3" x14ac:dyDescent="0.25">
      <c r="A155" s="17">
        <v>1711217</v>
      </c>
      <c r="B155" s="1">
        <v>46027</v>
      </c>
      <c r="C155">
        <v>62</v>
      </c>
    </row>
    <row r="156" spans="1:3" x14ac:dyDescent="0.25">
      <c r="A156" s="17">
        <v>2012714</v>
      </c>
      <c r="B156" s="1">
        <v>46027</v>
      </c>
      <c r="C156">
        <v>14</v>
      </c>
    </row>
    <row r="157" spans="1:3" x14ac:dyDescent="0.25">
      <c r="A157" s="17">
        <v>2310329</v>
      </c>
      <c r="B157" s="1">
        <v>46027</v>
      </c>
      <c r="C157">
        <v>17</v>
      </c>
    </row>
    <row r="158" spans="1:3" x14ac:dyDescent="0.25">
      <c r="A158" s="17">
        <v>2424707</v>
      </c>
      <c r="B158" s="1">
        <v>46027</v>
      </c>
      <c r="C158">
        <v>28</v>
      </c>
    </row>
    <row r="159" spans="1:3" x14ac:dyDescent="0.25">
      <c r="A159" s="17">
        <v>2732499</v>
      </c>
      <c r="B159" s="1">
        <v>46027</v>
      </c>
      <c r="C159">
        <v>50</v>
      </c>
    </row>
    <row r="160" spans="1:3" x14ac:dyDescent="0.25">
      <c r="A160" s="17">
        <v>2858379</v>
      </c>
      <c r="B160" s="1">
        <v>46027</v>
      </c>
      <c r="C160">
        <v>12</v>
      </c>
    </row>
    <row r="161" spans="1:3" x14ac:dyDescent="0.25">
      <c r="A161" s="17">
        <v>2982488</v>
      </c>
      <c r="B161" s="1">
        <v>46027</v>
      </c>
      <c r="C161">
        <v>17</v>
      </c>
    </row>
    <row r="162" spans="1:3" x14ac:dyDescent="0.25">
      <c r="A162" s="17">
        <v>3894456</v>
      </c>
      <c r="B162" s="1">
        <v>46027</v>
      </c>
      <c r="C162">
        <v>8</v>
      </c>
    </row>
    <row r="163" spans="1:3" x14ac:dyDescent="0.25">
      <c r="A163" s="17">
        <v>4255235</v>
      </c>
      <c r="B163" s="1">
        <v>46027</v>
      </c>
      <c r="C163">
        <v>41</v>
      </c>
    </row>
    <row r="164" spans="1:3" x14ac:dyDescent="0.25">
      <c r="A164" s="17">
        <v>5619128</v>
      </c>
      <c r="B164" s="1">
        <v>46027</v>
      </c>
      <c r="C164">
        <v>20</v>
      </c>
    </row>
    <row r="165" spans="1:3" x14ac:dyDescent="0.25">
      <c r="A165" s="17">
        <v>5624747</v>
      </c>
      <c r="B165" s="1">
        <v>46027</v>
      </c>
      <c r="C165">
        <v>12</v>
      </c>
    </row>
    <row r="166" spans="1:3" x14ac:dyDescent="0.25">
      <c r="A166" s="17">
        <v>6230104</v>
      </c>
      <c r="B166" s="1">
        <v>46027</v>
      </c>
      <c r="C166">
        <v>23</v>
      </c>
    </row>
    <row r="167" spans="1:3" x14ac:dyDescent="0.25">
      <c r="A167" s="17">
        <v>6334728</v>
      </c>
      <c r="B167" s="1">
        <v>46027</v>
      </c>
      <c r="C167">
        <v>23</v>
      </c>
    </row>
    <row r="168" spans="1:3" x14ac:dyDescent="0.25">
      <c r="A168" s="17">
        <v>6341525</v>
      </c>
      <c r="B168" s="1">
        <v>46027</v>
      </c>
      <c r="C168">
        <v>7</v>
      </c>
    </row>
    <row r="169" spans="1:3" x14ac:dyDescent="0.25">
      <c r="A169" s="17">
        <v>6825224</v>
      </c>
      <c r="B169" s="1">
        <v>46027</v>
      </c>
      <c r="C169">
        <v>60</v>
      </c>
    </row>
    <row r="170" spans="1:3" x14ac:dyDescent="0.25">
      <c r="A170" s="17">
        <v>6828260</v>
      </c>
      <c r="B170" s="1">
        <v>46027</v>
      </c>
      <c r="C170">
        <v>12</v>
      </c>
    </row>
    <row r="171" spans="1:3" x14ac:dyDescent="0.25">
      <c r="A171" s="17">
        <v>7023463</v>
      </c>
      <c r="B171" s="1">
        <v>46027</v>
      </c>
      <c r="C171">
        <v>59</v>
      </c>
    </row>
    <row r="172" spans="1:3" x14ac:dyDescent="0.25">
      <c r="A172" s="17">
        <v>7165581</v>
      </c>
      <c r="B172" s="1">
        <v>46027</v>
      </c>
      <c r="C172">
        <v>61</v>
      </c>
    </row>
    <row r="173" spans="1:3" x14ac:dyDescent="0.25">
      <c r="A173" s="17">
        <v>7747619</v>
      </c>
      <c r="B173" s="1">
        <v>46027</v>
      </c>
      <c r="C173">
        <v>33</v>
      </c>
    </row>
    <row r="174" spans="1:3" x14ac:dyDescent="0.25">
      <c r="A174" s="17">
        <v>7944400</v>
      </c>
      <c r="B174" s="1">
        <v>46027</v>
      </c>
      <c r="C174">
        <v>19</v>
      </c>
    </row>
    <row r="175" spans="1:3" x14ac:dyDescent="0.25">
      <c r="A175" s="17">
        <v>8306905</v>
      </c>
      <c r="B175" s="1">
        <v>46027</v>
      </c>
      <c r="C175">
        <v>40</v>
      </c>
    </row>
    <row r="176" spans="1:3" x14ac:dyDescent="0.25">
      <c r="A176" s="17">
        <v>8405468</v>
      </c>
      <c r="B176" s="1">
        <v>46027</v>
      </c>
      <c r="C176">
        <v>0</v>
      </c>
    </row>
    <row r="177" spans="1:3" x14ac:dyDescent="0.25">
      <c r="A177" s="17">
        <v>8551457</v>
      </c>
      <c r="B177" s="1">
        <v>46027</v>
      </c>
      <c r="C177">
        <v>21</v>
      </c>
    </row>
    <row r="178" spans="1:3" x14ac:dyDescent="0.25">
      <c r="A178" s="17">
        <v>8860153</v>
      </c>
      <c r="B178" s="1">
        <v>46027</v>
      </c>
      <c r="C178">
        <v>7</v>
      </c>
    </row>
    <row r="179" spans="1:3" x14ac:dyDescent="0.25">
      <c r="A179" s="17">
        <v>9044404</v>
      </c>
      <c r="B179" s="1">
        <v>46027</v>
      </c>
      <c r="C179">
        <v>17</v>
      </c>
    </row>
    <row r="180" spans="1:3" x14ac:dyDescent="0.25">
      <c r="A180" s="17">
        <v>9115955</v>
      </c>
      <c r="B180" s="1">
        <v>46027</v>
      </c>
      <c r="C180">
        <v>15</v>
      </c>
    </row>
    <row r="181" spans="1:3" x14ac:dyDescent="0.25">
      <c r="A181" s="17">
        <v>9292315</v>
      </c>
      <c r="B181" s="1">
        <v>46027</v>
      </c>
      <c r="C181">
        <v>74</v>
      </c>
    </row>
    <row r="182" spans="1:3" x14ac:dyDescent="0.25">
      <c r="A182" s="17">
        <v>1088638</v>
      </c>
      <c r="B182" s="1">
        <v>46028</v>
      </c>
      <c r="C182">
        <v>91</v>
      </c>
    </row>
    <row r="183" spans="1:3" x14ac:dyDescent="0.25">
      <c r="A183" s="17">
        <v>1253167</v>
      </c>
      <c r="B183" s="1">
        <v>46028</v>
      </c>
      <c r="C183">
        <v>16</v>
      </c>
    </row>
    <row r="184" spans="1:3" x14ac:dyDescent="0.25">
      <c r="A184" s="17">
        <v>1331817</v>
      </c>
      <c r="B184" s="1">
        <v>46028</v>
      </c>
      <c r="C184">
        <v>21</v>
      </c>
    </row>
    <row r="185" spans="1:3" x14ac:dyDescent="0.25">
      <c r="A185" s="17">
        <v>1711217</v>
      </c>
      <c r="B185" s="1">
        <v>46028</v>
      </c>
      <c r="C185">
        <v>58</v>
      </c>
    </row>
    <row r="186" spans="1:3" x14ac:dyDescent="0.25">
      <c r="A186" s="17">
        <v>2012714</v>
      </c>
      <c r="B186" s="1">
        <v>46028</v>
      </c>
      <c r="C186">
        <v>13</v>
      </c>
    </row>
    <row r="187" spans="1:3" x14ac:dyDescent="0.25">
      <c r="A187" s="17">
        <v>2310329</v>
      </c>
      <c r="B187" s="1">
        <v>46028</v>
      </c>
      <c r="C187">
        <v>17</v>
      </c>
    </row>
    <row r="188" spans="1:3" x14ac:dyDescent="0.25">
      <c r="A188" s="17">
        <v>2424707</v>
      </c>
      <c r="B188" s="1">
        <v>46028</v>
      </c>
      <c r="C188">
        <v>28</v>
      </c>
    </row>
    <row r="189" spans="1:3" x14ac:dyDescent="0.25">
      <c r="A189" s="17">
        <v>2732499</v>
      </c>
      <c r="B189" s="1">
        <v>46028</v>
      </c>
      <c r="C189">
        <v>50</v>
      </c>
    </row>
    <row r="190" spans="1:3" x14ac:dyDescent="0.25">
      <c r="A190" s="17">
        <v>2858379</v>
      </c>
      <c r="B190" s="1">
        <v>46028</v>
      </c>
      <c r="C190">
        <v>12</v>
      </c>
    </row>
    <row r="191" spans="1:3" x14ac:dyDescent="0.25">
      <c r="A191" s="17">
        <v>2982488</v>
      </c>
      <c r="B191" s="1">
        <v>46028</v>
      </c>
      <c r="C191">
        <v>17</v>
      </c>
    </row>
    <row r="192" spans="1:3" x14ac:dyDescent="0.25">
      <c r="A192" s="17">
        <v>3894456</v>
      </c>
      <c r="B192" s="1">
        <v>46028</v>
      </c>
      <c r="C192">
        <v>8</v>
      </c>
    </row>
    <row r="193" spans="1:3" x14ac:dyDescent="0.25">
      <c r="A193" s="17">
        <v>4255235</v>
      </c>
      <c r="B193" s="1">
        <v>46028</v>
      </c>
      <c r="C193">
        <v>39</v>
      </c>
    </row>
    <row r="194" spans="1:3" x14ac:dyDescent="0.25">
      <c r="A194" s="17">
        <v>5619128</v>
      </c>
      <c r="B194" s="1">
        <v>46028</v>
      </c>
      <c r="C194">
        <v>18</v>
      </c>
    </row>
    <row r="195" spans="1:3" x14ac:dyDescent="0.25">
      <c r="A195" s="17">
        <v>5624747</v>
      </c>
      <c r="B195" s="1">
        <v>46028</v>
      </c>
      <c r="C195">
        <v>12</v>
      </c>
    </row>
    <row r="196" spans="1:3" x14ac:dyDescent="0.25">
      <c r="A196" s="17">
        <v>6230104</v>
      </c>
      <c r="B196" s="1">
        <v>46028</v>
      </c>
      <c r="C196">
        <v>23</v>
      </c>
    </row>
    <row r="197" spans="1:3" x14ac:dyDescent="0.25">
      <c r="A197" s="17">
        <v>6334728</v>
      </c>
      <c r="B197" s="1">
        <v>46028</v>
      </c>
      <c r="C197">
        <v>23</v>
      </c>
    </row>
    <row r="198" spans="1:3" x14ac:dyDescent="0.25">
      <c r="A198" s="17">
        <v>6341525</v>
      </c>
      <c r="B198" s="1">
        <v>46028</v>
      </c>
      <c r="C198">
        <v>7</v>
      </c>
    </row>
    <row r="199" spans="1:3" x14ac:dyDescent="0.25">
      <c r="A199" s="17">
        <v>6825224</v>
      </c>
      <c r="B199" s="1">
        <v>46028</v>
      </c>
      <c r="C199">
        <v>59</v>
      </c>
    </row>
    <row r="200" spans="1:3" x14ac:dyDescent="0.25">
      <c r="A200" s="17">
        <v>6828260</v>
      </c>
      <c r="B200" s="1">
        <v>46028</v>
      </c>
      <c r="C200">
        <v>11</v>
      </c>
    </row>
    <row r="201" spans="1:3" x14ac:dyDescent="0.25">
      <c r="A201" s="17">
        <v>7023463</v>
      </c>
      <c r="B201" s="1">
        <v>46028</v>
      </c>
      <c r="C201">
        <v>59</v>
      </c>
    </row>
    <row r="202" spans="1:3" x14ac:dyDescent="0.25">
      <c r="A202" s="17">
        <v>7165581</v>
      </c>
      <c r="B202" s="1">
        <v>46028</v>
      </c>
      <c r="C202">
        <v>61</v>
      </c>
    </row>
    <row r="203" spans="1:3" x14ac:dyDescent="0.25">
      <c r="A203" s="17">
        <v>7747619</v>
      </c>
      <c r="B203" s="1">
        <v>46028</v>
      </c>
      <c r="C203">
        <v>31</v>
      </c>
    </row>
    <row r="204" spans="1:3" x14ac:dyDescent="0.25">
      <c r="A204" s="17">
        <v>7944400</v>
      </c>
      <c r="B204" s="1">
        <v>46028</v>
      </c>
      <c r="C204">
        <v>19</v>
      </c>
    </row>
    <row r="205" spans="1:3" x14ac:dyDescent="0.25">
      <c r="A205" s="17">
        <v>8306905</v>
      </c>
      <c r="B205" s="1">
        <v>46028</v>
      </c>
      <c r="C205">
        <v>40</v>
      </c>
    </row>
    <row r="206" spans="1:3" x14ac:dyDescent="0.25">
      <c r="A206" s="17">
        <v>8405468</v>
      </c>
      <c r="B206" s="1">
        <v>46028</v>
      </c>
      <c r="C206">
        <v>0</v>
      </c>
    </row>
    <row r="207" spans="1:3" x14ac:dyDescent="0.25">
      <c r="A207" s="17">
        <v>8551457</v>
      </c>
      <c r="B207" s="1">
        <v>46028</v>
      </c>
      <c r="C207">
        <v>21</v>
      </c>
    </row>
    <row r="208" spans="1:3" x14ac:dyDescent="0.25">
      <c r="A208" s="17">
        <v>8860153</v>
      </c>
      <c r="B208" s="1">
        <v>46028</v>
      </c>
      <c r="C208">
        <v>7</v>
      </c>
    </row>
    <row r="209" spans="1:3" x14ac:dyDescent="0.25">
      <c r="A209" s="17">
        <v>9044404</v>
      </c>
      <c r="B209" s="1">
        <v>46028</v>
      </c>
      <c r="C209">
        <v>17</v>
      </c>
    </row>
    <row r="210" spans="1:3" x14ac:dyDescent="0.25">
      <c r="A210" s="17">
        <v>9115955</v>
      </c>
      <c r="B210" s="1">
        <v>46028</v>
      </c>
      <c r="C210">
        <v>15</v>
      </c>
    </row>
    <row r="211" spans="1:3" x14ac:dyDescent="0.25">
      <c r="A211" s="17">
        <v>9292315</v>
      </c>
      <c r="B211" s="1">
        <v>46028</v>
      </c>
      <c r="C211">
        <v>68</v>
      </c>
    </row>
    <row r="212" spans="1:3" x14ac:dyDescent="0.25">
      <c r="A212" s="17">
        <v>1088638</v>
      </c>
      <c r="B212" s="1">
        <v>46029</v>
      </c>
      <c r="C212">
        <v>86</v>
      </c>
    </row>
    <row r="213" spans="1:3" x14ac:dyDescent="0.25">
      <c r="A213" s="17">
        <v>1253167</v>
      </c>
      <c r="B213" s="1">
        <v>46029</v>
      </c>
      <c r="C213">
        <v>16</v>
      </c>
    </row>
    <row r="214" spans="1:3" x14ac:dyDescent="0.25">
      <c r="A214" s="17">
        <v>1331817</v>
      </c>
      <c r="B214" s="1">
        <v>46029</v>
      </c>
      <c r="C214">
        <v>21</v>
      </c>
    </row>
    <row r="215" spans="1:3" x14ac:dyDescent="0.25">
      <c r="A215" s="17">
        <v>1711217</v>
      </c>
      <c r="B215" s="1">
        <v>46029</v>
      </c>
      <c r="C215">
        <v>57</v>
      </c>
    </row>
    <row r="216" spans="1:3" x14ac:dyDescent="0.25">
      <c r="A216" s="17">
        <v>2012714</v>
      </c>
      <c r="B216" s="1">
        <v>46029</v>
      </c>
      <c r="C216">
        <v>13</v>
      </c>
    </row>
    <row r="217" spans="1:3" x14ac:dyDescent="0.25">
      <c r="A217" s="17">
        <v>2310329</v>
      </c>
      <c r="B217" s="1">
        <v>46029</v>
      </c>
      <c r="C217">
        <v>17</v>
      </c>
    </row>
    <row r="218" spans="1:3" x14ac:dyDescent="0.25">
      <c r="A218" s="17">
        <v>2424707</v>
      </c>
      <c r="B218" s="1">
        <v>46029</v>
      </c>
      <c r="C218">
        <v>28</v>
      </c>
    </row>
    <row r="219" spans="1:3" x14ac:dyDescent="0.25">
      <c r="A219" s="17">
        <v>2732499</v>
      </c>
      <c r="B219" s="1">
        <v>46029</v>
      </c>
      <c r="C219">
        <v>50</v>
      </c>
    </row>
    <row r="220" spans="1:3" x14ac:dyDescent="0.25">
      <c r="A220" s="17">
        <v>2858379</v>
      </c>
      <c r="B220" s="1">
        <v>46029</v>
      </c>
      <c r="C220">
        <v>12</v>
      </c>
    </row>
    <row r="221" spans="1:3" x14ac:dyDescent="0.25">
      <c r="A221" s="17">
        <v>2982488</v>
      </c>
      <c r="B221" s="1">
        <v>46029</v>
      </c>
      <c r="C221">
        <v>17</v>
      </c>
    </row>
    <row r="222" spans="1:3" x14ac:dyDescent="0.25">
      <c r="A222" s="17">
        <v>3894456</v>
      </c>
      <c r="B222" s="1">
        <v>46029</v>
      </c>
      <c r="C222">
        <v>8</v>
      </c>
    </row>
    <row r="223" spans="1:3" x14ac:dyDescent="0.25">
      <c r="A223" s="17">
        <v>4255235</v>
      </c>
      <c r="B223" s="1">
        <v>46029</v>
      </c>
      <c r="C223">
        <v>39</v>
      </c>
    </row>
    <row r="224" spans="1:3" x14ac:dyDescent="0.25">
      <c r="A224" s="17">
        <v>5619128</v>
      </c>
      <c r="B224" s="1">
        <v>46029</v>
      </c>
      <c r="C224">
        <v>18</v>
      </c>
    </row>
    <row r="225" spans="1:3" x14ac:dyDescent="0.25">
      <c r="A225" s="17">
        <v>5624747</v>
      </c>
      <c r="B225" s="1">
        <v>46029</v>
      </c>
      <c r="C225">
        <v>12</v>
      </c>
    </row>
    <row r="226" spans="1:3" x14ac:dyDescent="0.25">
      <c r="A226" s="17">
        <v>6230104</v>
      </c>
      <c r="B226" s="1">
        <v>46029</v>
      </c>
      <c r="C226">
        <v>23</v>
      </c>
    </row>
    <row r="227" spans="1:3" x14ac:dyDescent="0.25">
      <c r="A227" s="17">
        <v>6334728</v>
      </c>
      <c r="B227" s="1">
        <v>46029</v>
      </c>
      <c r="C227">
        <v>20</v>
      </c>
    </row>
    <row r="228" spans="1:3" x14ac:dyDescent="0.25">
      <c r="A228" s="17">
        <v>6341525</v>
      </c>
      <c r="B228" s="1">
        <v>46029</v>
      </c>
      <c r="C228">
        <v>7</v>
      </c>
    </row>
    <row r="229" spans="1:3" x14ac:dyDescent="0.25">
      <c r="A229" s="17">
        <v>6825224</v>
      </c>
      <c r="B229" s="1">
        <v>46029</v>
      </c>
      <c r="C229">
        <v>59</v>
      </c>
    </row>
    <row r="230" spans="1:3" x14ac:dyDescent="0.25">
      <c r="A230" s="17">
        <v>6828260</v>
      </c>
      <c r="B230" s="1">
        <v>46029</v>
      </c>
      <c r="C230">
        <v>11</v>
      </c>
    </row>
    <row r="231" spans="1:3" x14ac:dyDescent="0.25">
      <c r="A231" s="17">
        <v>7023463</v>
      </c>
      <c r="B231" s="1">
        <v>46029</v>
      </c>
      <c r="C231">
        <v>57</v>
      </c>
    </row>
    <row r="232" spans="1:3" x14ac:dyDescent="0.25">
      <c r="A232" s="17">
        <v>7165581</v>
      </c>
      <c r="B232" s="1">
        <v>46029</v>
      </c>
      <c r="C232">
        <v>60</v>
      </c>
    </row>
    <row r="233" spans="1:3" x14ac:dyDescent="0.25">
      <c r="A233" s="17">
        <v>7747619</v>
      </c>
      <c r="B233" s="1">
        <v>46029</v>
      </c>
      <c r="C233">
        <v>31</v>
      </c>
    </row>
    <row r="234" spans="1:3" x14ac:dyDescent="0.25">
      <c r="A234" s="17">
        <v>7944400</v>
      </c>
      <c r="B234" s="1">
        <v>46029</v>
      </c>
      <c r="C234">
        <v>19</v>
      </c>
    </row>
    <row r="235" spans="1:3" x14ac:dyDescent="0.25">
      <c r="A235" s="17">
        <v>8306905</v>
      </c>
      <c r="B235" s="1">
        <v>46029</v>
      </c>
      <c r="C235">
        <v>40</v>
      </c>
    </row>
    <row r="236" spans="1:3" x14ac:dyDescent="0.25">
      <c r="A236" s="17">
        <v>8405468</v>
      </c>
      <c r="B236" s="1">
        <v>46029</v>
      </c>
      <c r="C236">
        <v>0</v>
      </c>
    </row>
    <row r="237" spans="1:3" x14ac:dyDescent="0.25">
      <c r="A237" s="17">
        <v>8551457</v>
      </c>
      <c r="B237" s="1">
        <v>46029</v>
      </c>
      <c r="C237">
        <v>21</v>
      </c>
    </row>
    <row r="238" spans="1:3" x14ac:dyDescent="0.25">
      <c r="A238" s="17">
        <v>8860153</v>
      </c>
      <c r="B238" s="1">
        <v>46029</v>
      </c>
      <c r="C238">
        <v>6</v>
      </c>
    </row>
    <row r="239" spans="1:3" x14ac:dyDescent="0.25">
      <c r="A239" s="17">
        <v>9044404</v>
      </c>
      <c r="B239" s="1">
        <v>46029</v>
      </c>
      <c r="C239">
        <v>17</v>
      </c>
    </row>
    <row r="240" spans="1:3" x14ac:dyDescent="0.25">
      <c r="A240" s="17">
        <v>9115955</v>
      </c>
      <c r="B240" s="1">
        <v>46029</v>
      </c>
      <c r="C240">
        <v>15</v>
      </c>
    </row>
    <row r="241" spans="1:3" x14ac:dyDescent="0.25">
      <c r="A241" s="17">
        <v>9292315</v>
      </c>
      <c r="B241" s="1">
        <v>46029</v>
      </c>
      <c r="C241">
        <v>64</v>
      </c>
    </row>
    <row r="242" spans="1:3" x14ac:dyDescent="0.25">
      <c r="A242" s="17">
        <v>1088638</v>
      </c>
      <c r="B242" s="1">
        <v>46030</v>
      </c>
      <c r="C242">
        <v>84</v>
      </c>
    </row>
    <row r="243" spans="1:3" x14ac:dyDescent="0.25">
      <c r="A243" s="17">
        <v>1253167</v>
      </c>
      <c r="B243" s="1">
        <v>46030</v>
      </c>
      <c r="C243">
        <v>13</v>
      </c>
    </row>
    <row r="244" spans="1:3" x14ac:dyDescent="0.25">
      <c r="A244" s="17">
        <v>1331817</v>
      </c>
      <c r="B244" s="1">
        <v>46030</v>
      </c>
      <c r="C244">
        <v>21</v>
      </c>
    </row>
    <row r="245" spans="1:3" x14ac:dyDescent="0.25">
      <c r="A245" s="17">
        <v>1711217</v>
      </c>
      <c r="B245" s="1">
        <v>46030</v>
      </c>
      <c r="C245">
        <v>54</v>
      </c>
    </row>
    <row r="246" spans="1:3" x14ac:dyDescent="0.25">
      <c r="A246" s="17">
        <v>2012714</v>
      </c>
      <c r="B246" s="1">
        <v>46030</v>
      </c>
      <c r="C246">
        <v>12</v>
      </c>
    </row>
    <row r="247" spans="1:3" x14ac:dyDescent="0.25">
      <c r="A247" s="17">
        <v>2310329</v>
      </c>
      <c r="B247" s="1">
        <v>46030</v>
      </c>
      <c r="C247">
        <v>17</v>
      </c>
    </row>
    <row r="248" spans="1:3" x14ac:dyDescent="0.25">
      <c r="A248" s="17">
        <v>2424707</v>
      </c>
      <c r="B248" s="1">
        <v>46030</v>
      </c>
      <c r="C248">
        <v>28</v>
      </c>
    </row>
    <row r="249" spans="1:3" x14ac:dyDescent="0.25">
      <c r="A249" s="17">
        <v>2732499</v>
      </c>
      <c r="B249" s="1">
        <v>46030</v>
      </c>
      <c r="C249">
        <v>45</v>
      </c>
    </row>
    <row r="250" spans="1:3" x14ac:dyDescent="0.25">
      <c r="A250" s="17">
        <v>2858379</v>
      </c>
      <c r="B250" s="1">
        <v>46030</v>
      </c>
      <c r="C250">
        <v>12</v>
      </c>
    </row>
    <row r="251" spans="1:3" x14ac:dyDescent="0.25">
      <c r="A251" s="17">
        <v>2982488</v>
      </c>
      <c r="B251" s="1">
        <v>46030</v>
      </c>
      <c r="C251">
        <v>17</v>
      </c>
    </row>
    <row r="252" spans="1:3" x14ac:dyDescent="0.25">
      <c r="A252" s="17">
        <v>3894456</v>
      </c>
      <c r="B252" s="1">
        <v>46030</v>
      </c>
      <c r="C252">
        <v>6</v>
      </c>
    </row>
    <row r="253" spans="1:3" x14ac:dyDescent="0.25">
      <c r="A253" s="17">
        <v>4255235</v>
      </c>
      <c r="B253" s="1">
        <v>46030</v>
      </c>
      <c r="C253">
        <v>39</v>
      </c>
    </row>
    <row r="254" spans="1:3" x14ac:dyDescent="0.25">
      <c r="A254" s="17">
        <v>5619128</v>
      </c>
      <c r="B254" s="1">
        <v>46030</v>
      </c>
      <c r="C254">
        <v>17</v>
      </c>
    </row>
    <row r="255" spans="1:3" x14ac:dyDescent="0.25">
      <c r="A255" s="17">
        <v>5624747</v>
      </c>
      <c r="B255" s="1">
        <v>46030</v>
      </c>
      <c r="C255">
        <v>12</v>
      </c>
    </row>
    <row r="256" spans="1:3" x14ac:dyDescent="0.25">
      <c r="A256" s="17">
        <v>6230104</v>
      </c>
      <c r="B256" s="1">
        <v>46030</v>
      </c>
      <c r="C256">
        <v>23</v>
      </c>
    </row>
    <row r="257" spans="1:3" x14ac:dyDescent="0.25">
      <c r="A257" s="17">
        <v>6334728</v>
      </c>
      <c r="B257" s="1">
        <v>46030</v>
      </c>
      <c r="C257">
        <v>17</v>
      </c>
    </row>
    <row r="258" spans="1:3" x14ac:dyDescent="0.25">
      <c r="A258" s="17">
        <v>6341525</v>
      </c>
      <c r="B258" s="1">
        <v>46030</v>
      </c>
      <c r="C258">
        <v>7</v>
      </c>
    </row>
    <row r="259" spans="1:3" x14ac:dyDescent="0.25">
      <c r="A259" s="17">
        <v>6825224</v>
      </c>
      <c r="B259" s="1">
        <v>46030</v>
      </c>
      <c r="C259">
        <v>59</v>
      </c>
    </row>
    <row r="260" spans="1:3" x14ac:dyDescent="0.25">
      <c r="A260" s="17">
        <v>6828260</v>
      </c>
      <c r="B260" s="1">
        <v>46030</v>
      </c>
      <c r="C260">
        <v>11</v>
      </c>
    </row>
    <row r="261" spans="1:3" x14ac:dyDescent="0.25">
      <c r="A261" s="17">
        <v>7023463</v>
      </c>
      <c r="B261" s="1">
        <v>46030</v>
      </c>
      <c r="C261">
        <v>56</v>
      </c>
    </row>
    <row r="262" spans="1:3" x14ac:dyDescent="0.25">
      <c r="A262" s="17">
        <v>7165581</v>
      </c>
      <c r="B262" s="1">
        <v>46030</v>
      </c>
      <c r="C262">
        <v>57</v>
      </c>
    </row>
    <row r="263" spans="1:3" x14ac:dyDescent="0.25">
      <c r="A263" s="17">
        <v>7747619</v>
      </c>
      <c r="B263" s="1">
        <v>46030</v>
      </c>
      <c r="C263">
        <v>31</v>
      </c>
    </row>
    <row r="264" spans="1:3" x14ac:dyDescent="0.25">
      <c r="A264" s="17">
        <v>7944400</v>
      </c>
      <c r="B264" s="1">
        <v>46030</v>
      </c>
      <c r="C264">
        <v>19</v>
      </c>
    </row>
    <row r="265" spans="1:3" x14ac:dyDescent="0.25">
      <c r="A265" s="17">
        <v>8306905</v>
      </c>
      <c r="B265" s="1">
        <v>46030</v>
      </c>
      <c r="C265">
        <v>40</v>
      </c>
    </row>
    <row r="266" spans="1:3" x14ac:dyDescent="0.25">
      <c r="A266" s="17">
        <v>8405468</v>
      </c>
      <c r="B266" s="1">
        <v>46030</v>
      </c>
      <c r="C266">
        <v>0</v>
      </c>
    </row>
    <row r="267" spans="1:3" x14ac:dyDescent="0.25">
      <c r="A267" s="17">
        <v>8551457</v>
      </c>
      <c r="B267" s="1">
        <v>46030</v>
      </c>
      <c r="C267">
        <v>21</v>
      </c>
    </row>
    <row r="268" spans="1:3" x14ac:dyDescent="0.25">
      <c r="A268" s="17">
        <v>8860153</v>
      </c>
      <c r="B268" s="1">
        <v>46030</v>
      </c>
      <c r="C268">
        <v>6</v>
      </c>
    </row>
    <row r="269" spans="1:3" x14ac:dyDescent="0.25">
      <c r="A269" s="17">
        <v>9044404</v>
      </c>
      <c r="B269" s="1">
        <v>46030</v>
      </c>
      <c r="C269">
        <v>17</v>
      </c>
    </row>
    <row r="270" spans="1:3" x14ac:dyDescent="0.25">
      <c r="A270" s="17">
        <v>9115955</v>
      </c>
      <c r="B270" s="1">
        <v>46030</v>
      </c>
      <c r="C270">
        <v>15</v>
      </c>
    </row>
    <row r="271" spans="1:3" x14ac:dyDescent="0.25">
      <c r="A271" s="17">
        <v>9292315</v>
      </c>
      <c r="B271" s="1">
        <v>46030</v>
      </c>
      <c r="C271">
        <v>61</v>
      </c>
    </row>
    <row r="272" spans="1:3" x14ac:dyDescent="0.25">
      <c r="A272" s="17">
        <v>1088638</v>
      </c>
      <c r="B272" s="1">
        <v>46031</v>
      </c>
      <c r="C272">
        <v>84</v>
      </c>
    </row>
    <row r="273" spans="1:3" x14ac:dyDescent="0.25">
      <c r="A273" s="17">
        <v>1253167</v>
      </c>
      <c r="B273" s="1">
        <v>46031</v>
      </c>
      <c r="C273">
        <v>9</v>
      </c>
    </row>
    <row r="274" spans="1:3" x14ac:dyDescent="0.25">
      <c r="A274" s="17">
        <v>1331817</v>
      </c>
      <c r="B274" s="1">
        <v>46031</v>
      </c>
      <c r="C274">
        <v>21</v>
      </c>
    </row>
    <row r="275" spans="1:3" x14ac:dyDescent="0.25">
      <c r="A275" s="17">
        <v>1711217</v>
      </c>
      <c r="B275" s="1">
        <v>46031</v>
      </c>
      <c r="C275">
        <v>49</v>
      </c>
    </row>
    <row r="276" spans="1:3" x14ac:dyDescent="0.25">
      <c r="A276" s="17">
        <v>2012714</v>
      </c>
      <c r="B276" s="1">
        <v>46031</v>
      </c>
      <c r="C276">
        <v>12</v>
      </c>
    </row>
    <row r="277" spans="1:3" x14ac:dyDescent="0.25">
      <c r="A277" s="17">
        <v>2310329</v>
      </c>
      <c r="B277" s="1">
        <v>46031</v>
      </c>
      <c r="C277">
        <v>17</v>
      </c>
    </row>
    <row r="278" spans="1:3" x14ac:dyDescent="0.25">
      <c r="A278" s="17">
        <v>2424707</v>
      </c>
      <c r="B278" s="1">
        <v>46031</v>
      </c>
      <c r="C278">
        <v>28</v>
      </c>
    </row>
    <row r="279" spans="1:3" x14ac:dyDescent="0.25">
      <c r="A279" s="17">
        <v>2732499</v>
      </c>
      <c r="B279" s="1">
        <v>46031</v>
      </c>
      <c r="C279">
        <v>41</v>
      </c>
    </row>
    <row r="280" spans="1:3" x14ac:dyDescent="0.25">
      <c r="A280" s="17">
        <v>2858379</v>
      </c>
      <c r="B280" s="1">
        <v>46031</v>
      </c>
      <c r="C280">
        <v>12</v>
      </c>
    </row>
    <row r="281" spans="1:3" x14ac:dyDescent="0.25">
      <c r="A281" s="17">
        <v>2982488</v>
      </c>
      <c r="B281" s="1">
        <v>46031</v>
      </c>
      <c r="C281">
        <v>17</v>
      </c>
    </row>
    <row r="282" spans="1:3" x14ac:dyDescent="0.25">
      <c r="A282" s="17">
        <v>3894456</v>
      </c>
      <c r="B282" s="1">
        <v>46031</v>
      </c>
      <c r="C282">
        <v>6</v>
      </c>
    </row>
    <row r="283" spans="1:3" x14ac:dyDescent="0.25">
      <c r="A283" s="17">
        <v>4255235</v>
      </c>
      <c r="B283" s="1">
        <v>46031</v>
      </c>
      <c r="C283">
        <v>39</v>
      </c>
    </row>
    <row r="284" spans="1:3" x14ac:dyDescent="0.25">
      <c r="A284" s="17">
        <v>5619128</v>
      </c>
      <c r="B284" s="1">
        <v>46031</v>
      </c>
      <c r="C284">
        <v>15</v>
      </c>
    </row>
    <row r="285" spans="1:3" x14ac:dyDescent="0.25">
      <c r="A285" s="17">
        <v>5624747</v>
      </c>
      <c r="B285" s="1">
        <v>46031</v>
      </c>
      <c r="C285">
        <v>11</v>
      </c>
    </row>
    <row r="286" spans="1:3" x14ac:dyDescent="0.25">
      <c r="A286" s="17">
        <v>6230104</v>
      </c>
      <c r="B286" s="1">
        <v>46031</v>
      </c>
      <c r="C286">
        <v>23</v>
      </c>
    </row>
    <row r="287" spans="1:3" x14ac:dyDescent="0.25">
      <c r="A287" s="17">
        <v>6334728</v>
      </c>
      <c r="B287" s="1">
        <v>46031</v>
      </c>
      <c r="C287">
        <v>17</v>
      </c>
    </row>
    <row r="288" spans="1:3" x14ac:dyDescent="0.25">
      <c r="A288" s="17">
        <v>6341525</v>
      </c>
      <c r="B288" s="1">
        <v>46031</v>
      </c>
      <c r="C288">
        <v>7</v>
      </c>
    </row>
    <row r="289" spans="1:3" x14ac:dyDescent="0.25">
      <c r="A289" s="17">
        <v>6825224</v>
      </c>
      <c r="B289" s="1">
        <v>46031</v>
      </c>
      <c r="C289">
        <v>57</v>
      </c>
    </row>
    <row r="290" spans="1:3" x14ac:dyDescent="0.25">
      <c r="A290" s="17">
        <v>6828260</v>
      </c>
      <c r="B290" s="1">
        <v>46031</v>
      </c>
      <c r="C290">
        <v>11</v>
      </c>
    </row>
    <row r="291" spans="1:3" x14ac:dyDescent="0.25">
      <c r="A291" s="17">
        <v>7023463</v>
      </c>
      <c r="B291" s="1">
        <v>46031</v>
      </c>
      <c r="C291">
        <v>51</v>
      </c>
    </row>
    <row r="292" spans="1:3" x14ac:dyDescent="0.25">
      <c r="A292" s="17">
        <v>7165581</v>
      </c>
      <c r="B292" s="1">
        <v>46031</v>
      </c>
      <c r="C292">
        <v>55</v>
      </c>
    </row>
    <row r="293" spans="1:3" x14ac:dyDescent="0.25">
      <c r="A293" s="17">
        <v>7747619</v>
      </c>
      <c r="B293" s="1">
        <v>46031</v>
      </c>
      <c r="C293">
        <v>31</v>
      </c>
    </row>
    <row r="294" spans="1:3" x14ac:dyDescent="0.25">
      <c r="A294" s="17">
        <v>7944400</v>
      </c>
      <c r="B294" s="1">
        <v>46031</v>
      </c>
      <c r="C294">
        <v>17</v>
      </c>
    </row>
    <row r="295" spans="1:3" x14ac:dyDescent="0.25">
      <c r="A295" s="17">
        <v>8306905</v>
      </c>
      <c r="B295" s="1">
        <v>46031</v>
      </c>
      <c r="C295">
        <v>40</v>
      </c>
    </row>
    <row r="296" spans="1:3" x14ac:dyDescent="0.25">
      <c r="A296" s="17">
        <v>8405468</v>
      </c>
      <c r="B296" s="1">
        <v>46031</v>
      </c>
      <c r="C296">
        <v>0</v>
      </c>
    </row>
    <row r="297" spans="1:3" x14ac:dyDescent="0.25">
      <c r="A297" s="17">
        <v>8551457</v>
      </c>
      <c r="B297" s="1">
        <v>46031</v>
      </c>
      <c r="C297">
        <v>20</v>
      </c>
    </row>
    <row r="298" spans="1:3" x14ac:dyDescent="0.25">
      <c r="A298" s="17">
        <v>8860153</v>
      </c>
      <c r="B298" s="1">
        <v>46031</v>
      </c>
      <c r="C298">
        <v>6</v>
      </c>
    </row>
    <row r="299" spans="1:3" x14ac:dyDescent="0.25">
      <c r="A299" s="17">
        <v>9044404</v>
      </c>
      <c r="B299" s="1">
        <v>46031</v>
      </c>
      <c r="C299">
        <v>17</v>
      </c>
    </row>
    <row r="300" spans="1:3" x14ac:dyDescent="0.25">
      <c r="A300" s="17">
        <v>9115955</v>
      </c>
      <c r="B300" s="1">
        <v>46031</v>
      </c>
      <c r="C300">
        <v>15</v>
      </c>
    </row>
    <row r="301" spans="1:3" x14ac:dyDescent="0.25">
      <c r="A301" s="17">
        <v>9292315</v>
      </c>
      <c r="B301" s="1">
        <v>46031</v>
      </c>
      <c r="C301">
        <v>60</v>
      </c>
    </row>
    <row r="302" spans="1:3" x14ac:dyDescent="0.25">
      <c r="A302" s="17">
        <v>1088638</v>
      </c>
      <c r="B302" s="1">
        <v>46032</v>
      </c>
      <c r="C302">
        <v>82</v>
      </c>
    </row>
    <row r="303" spans="1:3" x14ac:dyDescent="0.25">
      <c r="A303" s="17">
        <v>1253167</v>
      </c>
      <c r="B303" s="1">
        <v>46032</v>
      </c>
      <c r="C303">
        <v>9</v>
      </c>
    </row>
    <row r="304" spans="1:3" x14ac:dyDescent="0.25">
      <c r="A304" s="17">
        <v>1331817</v>
      </c>
      <c r="B304" s="1">
        <v>46032</v>
      </c>
      <c r="C304">
        <v>21</v>
      </c>
    </row>
    <row r="305" spans="1:3" x14ac:dyDescent="0.25">
      <c r="A305" s="17">
        <v>1711217</v>
      </c>
      <c r="B305" s="1">
        <v>46032</v>
      </c>
      <c r="C305">
        <v>44</v>
      </c>
    </row>
    <row r="306" spans="1:3" x14ac:dyDescent="0.25">
      <c r="A306" s="17">
        <v>2012714</v>
      </c>
      <c r="B306" s="1">
        <v>46032</v>
      </c>
      <c r="C306">
        <v>12</v>
      </c>
    </row>
    <row r="307" spans="1:3" x14ac:dyDescent="0.25">
      <c r="A307" s="17">
        <v>2310329</v>
      </c>
      <c r="B307" s="1">
        <v>46032</v>
      </c>
      <c r="C307">
        <v>17</v>
      </c>
    </row>
    <row r="308" spans="1:3" x14ac:dyDescent="0.25">
      <c r="A308" s="17">
        <v>2424707</v>
      </c>
      <c r="B308" s="1">
        <v>46032</v>
      </c>
      <c r="C308">
        <v>28</v>
      </c>
    </row>
    <row r="309" spans="1:3" x14ac:dyDescent="0.25">
      <c r="A309" s="17">
        <v>2732499</v>
      </c>
      <c r="B309" s="1">
        <v>46032</v>
      </c>
      <c r="C309">
        <v>39</v>
      </c>
    </row>
    <row r="310" spans="1:3" x14ac:dyDescent="0.25">
      <c r="A310" s="17">
        <v>2858379</v>
      </c>
      <c r="B310" s="1">
        <v>46032</v>
      </c>
      <c r="C310">
        <v>12</v>
      </c>
    </row>
    <row r="311" spans="1:3" x14ac:dyDescent="0.25">
      <c r="A311" s="17">
        <v>2982488</v>
      </c>
      <c r="B311" s="1">
        <v>46032</v>
      </c>
      <c r="C311">
        <v>17</v>
      </c>
    </row>
    <row r="312" spans="1:3" x14ac:dyDescent="0.25">
      <c r="A312" s="17">
        <v>3894456</v>
      </c>
      <c r="B312" s="1">
        <v>46032</v>
      </c>
      <c r="C312">
        <v>6</v>
      </c>
    </row>
    <row r="313" spans="1:3" x14ac:dyDescent="0.25">
      <c r="A313" s="17">
        <v>4255235</v>
      </c>
      <c r="B313" s="1">
        <v>46032</v>
      </c>
      <c r="C313">
        <v>39</v>
      </c>
    </row>
    <row r="314" spans="1:3" x14ac:dyDescent="0.25">
      <c r="A314" s="17">
        <v>5619128</v>
      </c>
      <c r="B314" s="1">
        <v>46032</v>
      </c>
      <c r="C314">
        <v>15</v>
      </c>
    </row>
    <row r="315" spans="1:3" x14ac:dyDescent="0.25">
      <c r="A315" s="17">
        <v>5624747</v>
      </c>
      <c r="B315" s="1">
        <v>46032</v>
      </c>
      <c r="C315">
        <v>11</v>
      </c>
    </row>
    <row r="316" spans="1:3" x14ac:dyDescent="0.25">
      <c r="A316" s="17">
        <v>6230104</v>
      </c>
      <c r="B316" s="1">
        <v>46032</v>
      </c>
      <c r="C316">
        <v>23</v>
      </c>
    </row>
    <row r="317" spans="1:3" x14ac:dyDescent="0.25">
      <c r="A317" s="17">
        <v>6334728</v>
      </c>
      <c r="B317" s="1">
        <v>46032</v>
      </c>
      <c r="C317">
        <v>17</v>
      </c>
    </row>
    <row r="318" spans="1:3" x14ac:dyDescent="0.25">
      <c r="A318" s="17">
        <v>6341525</v>
      </c>
      <c r="B318" s="1">
        <v>46032</v>
      </c>
      <c r="C318">
        <v>7</v>
      </c>
    </row>
    <row r="319" spans="1:3" x14ac:dyDescent="0.25">
      <c r="A319" s="17">
        <v>6825224</v>
      </c>
      <c r="B319" s="1">
        <v>46032</v>
      </c>
      <c r="C319">
        <v>57</v>
      </c>
    </row>
    <row r="320" spans="1:3" x14ac:dyDescent="0.25">
      <c r="A320" s="17">
        <v>6828260</v>
      </c>
      <c r="B320" s="1">
        <v>46032</v>
      </c>
      <c r="C320">
        <v>11</v>
      </c>
    </row>
    <row r="321" spans="1:3" x14ac:dyDescent="0.25">
      <c r="A321" s="17">
        <v>7023463</v>
      </c>
      <c r="B321" s="1">
        <v>46032</v>
      </c>
      <c r="C321">
        <v>51</v>
      </c>
    </row>
    <row r="322" spans="1:3" x14ac:dyDescent="0.25">
      <c r="A322" s="17">
        <v>7165581</v>
      </c>
      <c r="B322" s="1">
        <v>46032</v>
      </c>
      <c r="C322">
        <v>55</v>
      </c>
    </row>
    <row r="323" spans="1:3" x14ac:dyDescent="0.25">
      <c r="A323" s="17">
        <v>7747619</v>
      </c>
      <c r="B323" s="1">
        <v>46032</v>
      </c>
      <c r="C323">
        <v>31</v>
      </c>
    </row>
    <row r="324" spans="1:3" x14ac:dyDescent="0.25">
      <c r="A324" s="17">
        <v>7944400</v>
      </c>
      <c r="B324" s="1">
        <v>46032</v>
      </c>
      <c r="C324">
        <v>17</v>
      </c>
    </row>
    <row r="325" spans="1:3" x14ac:dyDescent="0.25">
      <c r="A325" s="17">
        <v>8306905</v>
      </c>
      <c r="B325" s="1">
        <v>46032</v>
      </c>
      <c r="C325">
        <v>40</v>
      </c>
    </row>
    <row r="326" spans="1:3" x14ac:dyDescent="0.25">
      <c r="A326" s="17">
        <v>8405468</v>
      </c>
      <c r="B326" s="1">
        <v>46032</v>
      </c>
      <c r="C326">
        <v>0</v>
      </c>
    </row>
    <row r="327" spans="1:3" x14ac:dyDescent="0.25">
      <c r="A327" s="17">
        <v>8551457</v>
      </c>
      <c r="B327" s="1">
        <v>46032</v>
      </c>
      <c r="C327">
        <v>20</v>
      </c>
    </row>
    <row r="328" spans="1:3" x14ac:dyDescent="0.25">
      <c r="A328" s="17">
        <v>8860153</v>
      </c>
      <c r="B328" s="1">
        <v>46032</v>
      </c>
      <c r="C328">
        <v>6</v>
      </c>
    </row>
    <row r="329" spans="1:3" x14ac:dyDescent="0.25">
      <c r="A329" s="17">
        <v>9044404</v>
      </c>
      <c r="B329" s="1">
        <v>46032</v>
      </c>
      <c r="C329">
        <v>17</v>
      </c>
    </row>
    <row r="330" spans="1:3" x14ac:dyDescent="0.25">
      <c r="A330" s="17">
        <v>9115955</v>
      </c>
      <c r="B330" s="1">
        <v>46032</v>
      </c>
      <c r="C330">
        <v>15</v>
      </c>
    </row>
    <row r="331" spans="1:3" x14ac:dyDescent="0.25">
      <c r="A331" s="17">
        <v>9292315</v>
      </c>
      <c r="B331" s="1">
        <v>46032</v>
      </c>
      <c r="C331">
        <v>57</v>
      </c>
    </row>
    <row r="332" spans="1:3" x14ac:dyDescent="0.25">
      <c r="A332" s="17">
        <v>1088638</v>
      </c>
      <c r="B332" s="1">
        <v>46033</v>
      </c>
      <c r="C332">
        <v>80</v>
      </c>
    </row>
    <row r="333" spans="1:3" x14ac:dyDescent="0.25">
      <c r="A333" s="17">
        <v>1253167</v>
      </c>
      <c r="B333" s="1">
        <v>46033</v>
      </c>
      <c r="C333">
        <v>7</v>
      </c>
    </row>
    <row r="334" spans="1:3" x14ac:dyDescent="0.25">
      <c r="A334" s="17">
        <v>1331817</v>
      </c>
      <c r="B334" s="1">
        <v>46033</v>
      </c>
      <c r="C334">
        <v>21</v>
      </c>
    </row>
    <row r="335" spans="1:3" x14ac:dyDescent="0.25">
      <c r="A335" s="17">
        <v>1711217</v>
      </c>
      <c r="B335" s="1">
        <v>46033</v>
      </c>
      <c r="C335">
        <v>42</v>
      </c>
    </row>
    <row r="336" spans="1:3" x14ac:dyDescent="0.25">
      <c r="A336" s="17">
        <v>2012714</v>
      </c>
      <c r="B336" s="1">
        <v>46033</v>
      </c>
      <c r="C336">
        <v>12</v>
      </c>
    </row>
    <row r="337" spans="1:3" x14ac:dyDescent="0.25">
      <c r="A337" s="17">
        <v>2310329</v>
      </c>
      <c r="B337" s="1">
        <v>46033</v>
      </c>
      <c r="C337">
        <v>17</v>
      </c>
    </row>
    <row r="338" spans="1:3" x14ac:dyDescent="0.25">
      <c r="A338" s="17">
        <v>2424707</v>
      </c>
      <c r="B338" s="1">
        <v>46033</v>
      </c>
      <c r="C338">
        <v>28</v>
      </c>
    </row>
    <row r="339" spans="1:3" x14ac:dyDescent="0.25">
      <c r="A339" s="17">
        <v>2732499</v>
      </c>
      <c r="B339" s="1">
        <v>46033</v>
      </c>
      <c r="C339">
        <v>39</v>
      </c>
    </row>
    <row r="340" spans="1:3" x14ac:dyDescent="0.25">
      <c r="A340" s="17">
        <v>2858379</v>
      </c>
      <c r="B340" s="1">
        <v>46033</v>
      </c>
      <c r="C340">
        <v>12</v>
      </c>
    </row>
    <row r="341" spans="1:3" x14ac:dyDescent="0.25">
      <c r="A341" s="17">
        <v>2982488</v>
      </c>
      <c r="B341" s="1">
        <v>46033</v>
      </c>
      <c r="C341">
        <v>17</v>
      </c>
    </row>
    <row r="342" spans="1:3" x14ac:dyDescent="0.25">
      <c r="A342" s="17">
        <v>3894456</v>
      </c>
      <c r="B342" s="1">
        <v>46033</v>
      </c>
      <c r="C342">
        <v>3</v>
      </c>
    </row>
    <row r="343" spans="1:3" x14ac:dyDescent="0.25">
      <c r="A343" s="17">
        <v>4255235</v>
      </c>
      <c r="B343" s="1">
        <v>46033</v>
      </c>
      <c r="C343">
        <v>39</v>
      </c>
    </row>
    <row r="344" spans="1:3" x14ac:dyDescent="0.25">
      <c r="A344" s="17">
        <v>5619128</v>
      </c>
      <c r="B344" s="1">
        <v>46033</v>
      </c>
      <c r="C344">
        <v>15</v>
      </c>
    </row>
    <row r="345" spans="1:3" x14ac:dyDescent="0.25">
      <c r="A345" s="17">
        <v>5624747</v>
      </c>
      <c r="B345" s="1">
        <v>46033</v>
      </c>
      <c r="C345">
        <v>11</v>
      </c>
    </row>
    <row r="346" spans="1:3" x14ac:dyDescent="0.25">
      <c r="A346" s="17">
        <v>6230104</v>
      </c>
      <c r="B346" s="1">
        <v>46033</v>
      </c>
      <c r="C346">
        <v>23</v>
      </c>
    </row>
    <row r="347" spans="1:3" x14ac:dyDescent="0.25">
      <c r="A347" s="17">
        <v>6334728</v>
      </c>
      <c r="B347" s="1">
        <v>46033</v>
      </c>
      <c r="C347">
        <v>14</v>
      </c>
    </row>
    <row r="348" spans="1:3" x14ac:dyDescent="0.25">
      <c r="A348" s="17">
        <v>6341525</v>
      </c>
      <c r="B348" s="1">
        <v>46033</v>
      </c>
      <c r="C348">
        <v>7</v>
      </c>
    </row>
    <row r="349" spans="1:3" x14ac:dyDescent="0.25">
      <c r="A349" s="17">
        <v>6825224</v>
      </c>
      <c r="B349" s="1">
        <v>46033</v>
      </c>
      <c r="C349">
        <v>57</v>
      </c>
    </row>
    <row r="350" spans="1:3" x14ac:dyDescent="0.25">
      <c r="A350" s="17">
        <v>6828260</v>
      </c>
      <c r="B350" s="1">
        <v>46033</v>
      </c>
      <c r="C350">
        <v>9</v>
      </c>
    </row>
    <row r="351" spans="1:3" x14ac:dyDescent="0.25">
      <c r="A351" s="17">
        <v>7023463</v>
      </c>
      <c r="B351" s="1">
        <v>46033</v>
      </c>
      <c r="C351">
        <v>46</v>
      </c>
    </row>
    <row r="352" spans="1:3" x14ac:dyDescent="0.25">
      <c r="A352" s="17">
        <v>7165581</v>
      </c>
      <c r="B352" s="1">
        <v>46033</v>
      </c>
      <c r="C352">
        <v>52</v>
      </c>
    </row>
    <row r="353" spans="1:3" x14ac:dyDescent="0.25">
      <c r="A353" s="17">
        <v>7747619</v>
      </c>
      <c r="B353" s="1">
        <v>46033</v>
      </c>
      <c r="C353">
        <v>31</v>
      </c>
    </row>
    <row r="354" spans="1:3" x14ac:dyDescent="0.25">
      <c r="A354" s="17">
        <v>7944400</v>
      </c>
      <c r="B354" s="1">
        <v>46033</v>
      </c>
      <c r="C354">
        <v>17</v>
      </c>
    </row>
    <row r="355" spans="1:3" x14ac:dyDescent="0.25">
      <c r="A355" s="17">
        <v>8306905</v>
      </c>
      <c r="B355" s="1">
        <v>46033</v>
      </c>
      <c r="C355">
        <v>35</v>
      </c>
    </row>
    <row r="356" spans="1:3" x14ac:dyDescent="0.25">
      <c r="A356" s="17">
        <v>8405468</v>
      </c>
      <c r="B356" s="1">
        <v>46033</v>
      </c>
      <c r="C356">
        <v>0</v>
      </c>
    </row>
    <row r="357" spans="1:3" x14ac:dyDescent="0.25">
      <c r="A357" s="17">
        <v>8551457</v>
      </c>
      <c r="B357" s="1">
        <v>46033</v>
      </c>
      <c r="C357">
        <v>20</v>
      </c>
    </row>
    <row r="358" spans="1:3" x14ac:dyDescent="0.25">
      <c r="A358" s="17">
        <v>8860153</v>
      </c>
      <c r="B358" s="1">
        <v>46033</v>
      </c>
      <c r="C358">
        <v>6</v>
      </c>
    </row>
    <row r="359" spans="1:3" x14ac:dyDescent="0.25">
      <c r="A359" s="17">
        <v>9044404</v>
      </c>
      <c r="B359" s="1">
        <v>46033</v>
      </c>
      <c r="C359">
        <v>17</v>
      </c>
    </row>
    <row r="360" spans="1:3" x14ac:dyDescent="0.25">
      <c r="A360" s="17">
        <v>9115955</v>
      </c>
      <c r="B360" s="1">
        <v>46033</v>
      </c>
      <c r="C360">
        <v>14</v>
      </c>
    </row>
    <row r="361" spans="1:3" x14ac:dyDescent="0.25">
      <c r="A361" s="17">
        <v>9292315</v>
      </c>
      <c r="B361" s="1">
        <v>46033</v>
      </c>
      <c r="C361">
        <v>56</v>
      </c>
    </row>
    <row r="362" spans="1:3" x14ac:dyDescent="0.25">
      <c r="A362" s="17">
        <v>1088638</v>
      </c>
      <c r="B362" s="1">
        <v>46034</v>
      </c>
      <c r="C362">
        <v>75</v>
      </c>
    </row>
    <row r="363" spans="1:3" x14ac:dyDescent="0.25">
      <c r="A363" s="17">
        <v>1253167</v>
      </c>
      <c r="B363" s="1">
        <v>46034</v>
      </c>
      <c r="C363">
        <v>5</v>
      </c>
    </row>
    <row r="364" spans="1:3" x14ac:dyDescent="0.25">
      <c r="A364" s="17">
        <v>1331817</v>
      </c>
      <c r="B364" s="1">
        <v>46034</v>
      </c>
      <c r="C364">
        <v>21</v>
      </c>
    </row>
    <row r="365" spans="1:3" x14ac:dyDescent="0.25">
      <c r="A365" s="17">
        <v>1711217</v>
      </c>
      <c r="B365" s="1">
        <v>46034</v>
      </c>
      <c r="C365">
        <v>37</v>
      </c>
    </row>
    <row r="366" spans="1:3" x14ac:dyDescent="0.25">
      <c r="A366" s="17">
        <v>2012714</v>
      </c>
      <c r="B366" s="1">
        <v>46034</v>
      </c>
      <c r="C366">
        <v>12</v>
      </c>
    </row>
    <row r="367" spans="1:3" x14ac:dyDescent="0.25">
      <c r="A367" s="17">
        <v>2310329</v>
      </c>
      <c r="B367" s="1">
        <v>46034</v>
      </c>
      <c r="C367">
        <v>17</v>
      </c>
    </row>
    <row r="368" spans="1:3" x14ac:dyDescent="0.25">
      <c r="A368" s="17">
        <v>2424707</v>
      </c>
      <c r="B368" s="1">
        <v>46034</v>
      </c>
      <c r="C368">
        <v>28</v>
      </c>
    </row>
    <row r="369" spans="1:3" x14ac:dyDescent="0.25">
      <c r="A369" s="17">
        <v>2732499</v>
      </c>
      <c r="B369" s="1">
        <v>46034</v>
      </c>
      <c r="C369">
        <v>39</v>
      </c>
    </row>
    <row r="370" spans="1:3" x14ac:dyDescent="0.25">
      <c r="A370" s="17">
        <v>2858379</v>
      </c>
      <c r="B370" s="1">
        <v>46034</v>
      </c>
      <c r="C370">
        <v>12</v>
      </c>
    </row>
    <row r="371" spans="1:3" x14ac:dyDescent="0.25">
      <c r="A371" s="17">
        <v>2982488</v>
      </c>
      <c r="B371" s="1">
        <v>46034</v>
      </c>
      <c r="C371">
        <v>17</v>
      </c>
    </row>
    <row r="372" spans="1:3" x14ac:dyDescent="0.25">
      <c r="A372" s="17">
        <v>3894456</v>
      </c>
      <c r="B372" s="1">
        <v>46034</v>
      </c>
      <c r="C372">
        <v>3</v>
      </c>
    </row>
    <row r="373" spans="1:3" x14ac:dyDescent="0.25">
      <c r="A373" s="17">
        <v>4255235</v>
      </c>
      <c r="B373" s="1">
        <v>46034</v>
      </c>
      <c r="C373">
        <v>39</v>
      </c>
    </row>
    <row r="374" spans="1:3" x14ac:dyDescent="0.25">
      <c r="A374" s="17">
        <v>5619128</v>
      </c>
      <c r="B374" s="1">
        <v>46034</v>
      </c>
      <c r="C374">
        <v>14</v>
      </c>
    </row>
    <row r="375" spans="1:3" x14ac:dyDescent="0.25">
      <c r="A375" s="17">
        <v>5624747</v>
      </c>
      <c r="B375" s="1">
        <v>46034</v>
      </c>
      <c r="C375">
        <v>11</v>
      </c>
    </row>
    <row r="376" spans="1:3" x14ac:dyDescent="0.25">
      <c r="A376" s="17">
        <v>6230104</v>
      </c>
      <c r="B376" s="1">
        <v>46034</v>
      </c>
      <c r="C376">
        <v>23</v>
      </c>
    </row>
    <row r="377" spans="1:3" x14ac:dyDescent="0.25">
      <c r="A377" s="17">
        <v>6334728</v>
      </c>
      <c r="B377" s="1">
        <v>46034</v>
      </c>
      <c r="C377">
        <v>13</v>
      </c>
    </row>
    <row r="378" spans="1:3" x14ac:dyDescent="0.25">
      <c r="A378" s="17">
        <v>6341525</v>
      </c>
      <c r="B378" s="1">
        <v>46034</v>
      </c>
      <c r="C378">
        <v>7</v>
      </c>
    </row>
    <row r="379" spans="1:3" x14ac:dyDescent="0.25">
      <c r="A379" s="17">
        <v>6825224</v>
      </c>
      <c r="B379" s="1">
        <v>46034</v>
      </c>
      <c r="C379">
        <v>57</v>
      </c>
    </row>
    <row r="380" spans="1:3" x14ac:dyDescent="0.25">
      <c r="A380" s="17">
        <v>6828260</v>
      </c>
      <c r="B380" s="1">
        <v>46034</v>
      </c>
      <c r="C380">
        <v>9</v>
      </c>
    </row>
    <row r="381" spans="1:3" x14ac:dyDescent="0.25">
      <c r="A381" s="17">
        <v>7023463</v>
      </c>
      <c r="B381" s="1">
        <v>46034</v>
      </c>
      <c r="C381">
        <v>43</v>
      </c>
    </row>
    <row r="382" spans="1:3" x14ac:dyDescent="0.25">
      <c r="A382" s="17">
        <v>7165581</v>
      </c>
      <c r="B382" s="1">
        <v>46034</v>
      </c>
      <c r="C382">
        <v>51</v>
      </c>
    </row>
    <row r="383" spans="1:3" x14ac:dyDescent="0.25">
      <c r="A383" s="17">
        <v>7747619</v>
      </c>
      <c r="B383" s="1">
        <v>46034</v>
      </c>
      <c r="C383">
        <v>31</v>
      </c>
    </row>
    <row r="384" spans="1:3" x14ac:dyDescent="0.25">
      <c r="A384" s="17">
        <v>7944400</v>
      </c>
      <c r="B384" s="1">
        <v>46034</v>
      </c>
      <c r="C384">
        <v>17</v>
      </c>
    </row>
    <row r="385" spans="1:3" x14ac:dyDescent="0.25">
      <c r="A385" s="17">
        <v>8306905</v>
      </c>
      <c r="B385" s="1">
        <v>46034</v>
      </c>
      <c r="C385">
        <v>35</v>
      </c>
    </row>
    <row r="386" spans="1:3" x14ac:dyDescent="0.25">
      <c r="A386" s="17">
        <v>8405468</v>
      </c>
      <c r="B386" s="1">
        <v>46034</v>
      </c>
      <c r="C386">
        <v>0</v>
      </c>
    </row>
    <row r="387" spans="1:3" x14ac:dyDescent="0.25">
      <c r="A387" s="17">
        <v>8551457</v>
      </c>
      <c r="B387" s="1">
        <v>46034</v>
      </c>
      <c r="C387">
        <v>20</v>
      </c>
    </row>
    <row r="388" spans="1:3" x14ac:dyDescent="0.25">
      <c r="A388" s="17">
        <v>8860153</v>
      </c>
      <c r="B388" s="1">
        <v>46034</v>
      </c>
      <c r="C388">
        <v>6</v>
      </c>
    </row>
    <row r="389" spans="1:3" x14ac:dyDescent="0.25">
      <c r="A389" s="17">
        <v>9044404</v>
      </c>
      <c r="B389" s="1">
        <v>46034</v>
      </c>
      <c r="C389">
        <v>17</v>
      </c>
    </row>
    <row r="390" spans="1:3" x14ac:dyDescent="0.25">
      <c r="A390" s="17">
        <v>9115955</v>
      </c>
      <c r="B390" s="1">
        <v>46034</v>
      </c>
      <c r="C390">
        <v>14</v>
      </c>
    </row>
    <row r="391" spans="1:3" x14ac:dyDescent="0.25">
      <c r="A391" s="17">
        <v>9292315</v>
      </c>
      <c r="B391" s="1">
        <v>46034</v>
      </c>
      <c r="C391">
        <v>54</v>
      </c>
    </row>
    <row r="392" spans="1:3" x14ac:dyDescent="0.25">
      <c r="A392" s="17">
        <v>1088638</v>
      </c>
      <c r="B392" s="1">
        <v>46035</v>
      </c>
      <c r="C392">
        <v>75</v>
      </c>
    </row>
    <row r="393" spans="1:3" x14ac:dyDescent="0.25">
      <c r="A393" s="17">
        <v>1253167</v>
      </c>
      <c r="B393" s="1">
        <v>46035</v>
      </c>
      <c r="C393">
        <v>1</v>
      </c>
    </row>
    <row r="394" spans="1:3" x14ac:dyDescent="0.25">
      <c r="A394" s="17">
        <v>1331817</v>
      </c>
      <c r="B394" s="1">
        <v>46035</v>
      </c>
      <c r="C394">
        <v>21</v>
      </c>
    </row>
    <row r="395" spans="1:3" x14ac:dyDescent="0.25">
      <c r="A395" s="17">
        <v>1711217</v>
      </c>
      <c r="B395" s="1">
        <v>46035</v>
      </c>
      <c r="C395">
        <v>34</v>
      </c>
    </row>
    <row r="396" spans="1:3" x14ac:dyDescent="0.25">
      <c r="A396" s="17">
        <v>2012714</v>
      </c>
      <c r="B396" s="1">
        <v>46035</v>
      </c>
      <c r="C396">
        <v>10</v>
      </c>
    </row>
    <row r="397" spans="1:3" x14ac:dyDescent="0.25">
      <c r="A397" s="17">
        <v>2310329</v>
      </c>
      <c r="B397" s="1">
        <v>46035</v>
      </c>
      <c r="C397">
        <v>17</v>
      </c>
    </row>
    <row r="398" spans="1:3" x14ac:dyDescent="0.25">
      <c r="A398" s="17">
        <v>2424707</v>
      </c>
      <c r="B398" s="1">
        <v>46035</v>
      </c>
      <c r="C398">
        <v>28</v>
      </c>
    </row>
    <row r="399" spans="1:3" x14ac:dyDescent="0.25">
      <c r="A399" s="17">
        <v>2732499</v>
      </c>
      <c r="B399" s="1">
        <v>46035</v>
      </c>
      <c r="C399">
        <v>39</v>
      </c>
    </row>
    <row r="400" spans="1:3" x14ac:dyDescent="0.25">
      <c r="A400" s="17">
        <v>2858379</v>
      </c>
      <c r="B400" s="1">
        <v>46035</v>
      </c>
      <c r="C400">
        <v>12</v>
      </c>
    </row>
    <row r="401" spans="1:3" x14ac:dyDescent="0.25">
      <c r="A401" s="17">
        <v>2982488</v>
      </c>
      <c r="B401" s="1">
        <v>46035</v>
      </c>
      <c r="C401">
        <v>17</v>
      </c>
    </row>
    <row r="402" spans="1:3" x14ac:dyDescent="0.25">
      <c r="A402" s="17">
        <v>3894456</v>
      </c>
      <c r="B402" s="1">
        <v>46035</v>
      </c>
      <c r="C402">
        <v>3</v>
      </c>
    </row>
    <row r="403" spans="1:3" x14ac:dyDescent="0.25">
      <c r="A403" s="17">
        <v>4255235</v>
      </c>
      <c r="B403" s="1">
        <v>46035</v>
      </c>
      <c r="C403">
        <v>37</v>
      </c>
    </row>
    <row r="404" spans="1:3" x14ac:dyDescent="0.25">
      <c r="A404" s="17">
        <v>5619128</v>
      </c>
      <c r="B404" s="1">
        <v>46035</v>
      </c>
      <c r="C404">
        <v>14</v>
      </c>
    </row>
    <row r="405" spans="1:3" x14ac:dyDescent="0.25">
      <c r="A405" s="17">
        <v>5624747</v>
      </c>
      <c r="B405" s="1">
        <v>46035</v>
      </c>
      <c r="C405">
        <v>11</v>
      </c>
    </row>
    <row r="406" spans="1:3" x14ac:dyDescent="0.25">
      <c r="A406" s="17">
        <v>6230104</v>
      </c>
      <c r="B406" s="1">
        <v>46035</v>
      </c>
      <c r="C406">
        <v>23</v>
      </c>
    </row>
    <row r="407" spans="1:3" x14ac:dyDescent="0.25">
      <c r="A407" s="17">
        <v>6334728</v>
      </c>
      <c r="B407" s="1">
        <v>46035</v>
      </c>
      <c r="C407">
        <v>13</v>
      </c>
    </row>
    <row r="408" spans="1:3" x14ac:dyDescent="0.25">
      <c r="A408" s="17">
        <v>6341525</v>
      </c>
      <c r="B408" s="1">
        <v>46035</v>
      </c>
      <c r="C408">
        <v>7</v>
      </c>
    </row>
    <row r="409" spans="1:3" x14ac:dyDescent="0.25">
      <c r="A409" s="17">
        <v>6825224</v>
      </c>
      <c r="B409" s="1">
        <v>46035</v>
      </c>
      <c r="C409">
        <v>57</v>
      </c>
    </row>
    <row r="410" spans="1:3" x14ac:dyDescent="0.25">
      <c r="A410" s="17">
        <v>6828260</v>
      </c>
      <c r="B410" s="1">
        <v>46035</v>
      </c>
      <c r="C410">
        <v>9</v>
      </c>
    </row>
    <row r="411" spans="1:3" x14ac:dyDescent="0.25">
      <c r="A411" s="17">
        <v>7023463</v>
      </c>
      <c r="B411" s="1">
        <v>46035</v>
      </c>
      <c r="C411">
        <v>43</v>
      </c>
    </row>
    <row r="412" spans="1:3" x14ac:dyDescent="0.25">
      <c r="A412" s="17">
        <v>7165581</v>
      </c>
      <c r="B412" s="1">
        <v>46035</v>
      </c>
      <c r="C412">
        <v>51</v>
      </c>
    </row>
    <row r="413" spans="1:3" x14ac:dyDescent="0.25">
      <c r="A413" s="17">
        <v>7747619</v>
      </c>
      <c r="B413" s="1">
        <v>46035</v>
      </c>
      <c r="C413">
        <v>31</v>
      </c>
    </row>
    <row r="414" spans="1:3" x14ac:dyDescent="0.25">
      <c r="A414" s="17">
        <v>7944400</v>
      </c>
      <c r="B414" s="1">
        <v>46035</v>
      </c>
      <c r="C414">
        <v>17</v>
      </c>
    </row>
    <row r="415" spans="1:3" x14ac:dyDescent="0.25">
      <c r="A415" s="17">
        <v>8306905</v>
      </c>
      <c r="B415" s="1">
        <v>46035</v>
      </c>
      <c r="C415">
        <v>34</v>
      </c>
    </row>
    <row r="416" spans="1:3" x14ac:dyDescent="0.25">
      <c r="A416" s="17">
        <v>8405468</v>
      </c>
      <c r="B416" s="1">
        <v>46035</v>
      </c>
      <c r="C416">
        <v>0</v>
      </c>
    </row>
    <row r="417" spans="1:3" x14ac:dyDescent="0.25">
      <c r="A417" s="17">
        <v>8551457</v>
      </c>
      <c r="B417" s="1">
        <v>46035</v>
      </c>
      <c r="C417">
        <v>20</v>
      </c>
    </row>
    <row r="418" spans="1:3" x14ac:dyDescent="0.25">
      <c r="A418" s="17">
        <v>8860153</v>
      </c>
      <c r="B418" s="1">
        <v>46035</v>
      </c>
      <c r="C418">
        <v>6</v>
      </c>
    </row>
    <row r="419" spans="1:3" x14ac:dyDescent="0.25">
      <c r="A419" s="17">
        <v>9044404</v>
      </c>
      <c r="B419" s="1">
        <v>46035</v>
      </c>
      <c r="C419">
        <v>15</v>
      </c>
    </row>
    <row r="420" spans="1:3" x14ac:dyDescent="0.25">
      <c r="A420" s="17">
        <v>9115955</v>
      </c>
      <c r="B420" s="1">
        <v>46035</v>
      </c>
      <c r="C420">
        <v>14</v>
      </c>
    </row>
    <row r="421" spans="1:3" x14ac:dyDescent="0.25">
      <c r="A421" s="17">
        <v>9292315</v>
      </c>
      <c r="B421" s="1">
        <v>46035</v>
      </c>
      <c r="C421">
        <v>54</v>
      </c>
    </row>
    <row r="422" spans="1:3" x14ac:dyDescent="0.25">
      <c r="A422" s="17">
        <v>1088638</v>
      </c>
      <c r="B422" s="1">
        <v>46036</v>
      </c>
      <c r="C422">
        <v>71</v>
      </c>
    </row>
    <row r="423" spans="1:3" x14ac:dyDescent="0.25">
      <c r="A423" s="17">
        <v>1253167</v>
      </c>
      <c r="B423" s="1">
        <v>46036</v>
      </c>
      <c r="C423">
        <v>0</v>
      </c>
    </row>
    <row r="424" spans="1:3" x14ac:dyDescent="0.25">
      <c r="A424" s="17">
        <v>1331817</v>
      </c>
      <c r="B424" s="1">
        <v>46036</v>
      </c>
      <c r="C424">
        <v>21</v>
      </c>
    </row>
    <row r="425" spans="1:3" x14ac:dyDescent="0.25">
      <c r="A425" s="17">
        <v>1711217</v>
      </c>
      <c r="B425" s="1">
        <v>46036</v>
      </c>
      <c r="C425">
        <v>32</v>
      </c>
    </row>
    <row r="426" spans="1:3" x14ac:dyDescent="0.25">
      <c r="A426" s="17">
        <v>2012714</v>
      </c>
      <c r="B426" s="1">
        <v>46036</v>
      </c>
      <c r="C426">
        <v>8</v>
      </c>
    </row>
    <row r="427" spans="1:3" x14ac:dyDescent="0.25">
      <c r="A427" s="17">
        <v>2310329</v>
      </c>
      <c r="B427" s="1">
        <v>46036</v>
      </c>
      <c r="C427">
        <v>17</v>
      </c>
    </row>
    <row r="428" spans="1:3" x14ac:dyDescent="0.25">
      <c r="A428" s="17">
        <v>2424707</v>
      </c>
      <c r="B428" s="1">
        <v>46036</v>
      </c>
      <c r="C428">
        <v>28</v>
      </c>
    </row>
    <row r="429" spans="1:3" x14ac:dyDescent="0.25">
      <c r="A429" s="17">
        <v>2732499</v>
      </c>
      <c r="B429" s="1">
        <v>46036</v>
      </c>
      <c r="C429">
        <v>36</v>
      </c>
    </row>
    <row r="430" spans="1:3" x14ac:dyDescent="0.25">
      <c r="A430" s="17">
        <v>2858379</v>
      </c>
      <c r="B430" s="1">
        <v>46036</v>
      </c>
      <c r="C430">
        <v>12</v>
      </c>
    </row>
    <row r="431" spans="1:3" x14ac:dyDescent="0.25">
      <c r="A431" s="17">
        <v>2982488</v>
      </c>
      <c r="B431" s="1">
        <v>46036</v>
      </c>
      <c r="C431">
        <v>17</v>
      </c>
    </row>
    <row r="432" spans="1:3" x14ac:dyDescent="0.25">
      <c r="A432" s="17">
        <v>3894456</v>
      </c>
      <c r="B432" s="1">
        <v>46036</v>
      </c>
      <c r="C432">
        <v>2</v>
      </c>
    </row>
    <row r="433" spans="1:3" x14ac:dyDescent="0.25">
      <c r="A433" s="17">
        <v>4255235</v>
      </c>
      <c r="B433" s="1">
        <v>46036</v>
      </c>
      <c r="C433">
        <v>37</v>
      </c>
    </row>
    <row r="434" spans="1:3" x14ac:dyDescent="0.25">
      <c r="A434" s="17">
        <v>5619128</v>
      </c>
      <c r="B434" s="1">
        <v>46036</v>
      </c>
      <c r="C434">
        <v>14</v>
      </c>
    </row>
    <row r="435" spans="1:3" x14ac:dyDescent="0.25">
      <c r="A435" s="17">
        <v>5624747</v>
      </c>
      <c r="B435" s="1">
        <v>46036</v>
      </c>
      <c r="C435">
        <v>8</v>
      </c>
    </row>
    <row r="436" spans="1:3" x14ac:dyDescent="0.25">
      <c r="A436" s="17">
        <v>6230104</v>
      </c>
      <c r="B436" s="1">
        <v>46036</v>
      </c>
      <c r="C436">
        <v>23</v>
      </c>
    </row>
    <row r="437" spans="1:3" x14ac:dyDescent="0.25">
      <c r="A437" s="17">
        <v>6334728</v>
      </c>
      <c r="B437" s="1">
        <v>46036</v>
      </c>
      <c r="C437">
        <v>13</v>
      </c>
    </row>
    <row r="438" spans="1:3" x14ac:dyDescent="0.25">
      <c r="A438" s="17">
        <v>6341525</v>
      </c>
      <c r="B438" s="1">
        <v>46036</v>
      </c>
      <c r="C438">
        <v>7</v>
      </c>
    </row>
    <row r="439" spans="1:3" x14ac:dyDescent="0.25">
      <c r="A439" s="17">
        <v>6825224</v>
      </c>
      <c r="B439" s="1">
        <v>46036</v>
      </c>
      <c r="C439">
        <v>55</v>
      </c>
    </row>
    <row r="440" spans="1:3" x14ac:dyDescent="0.25">
      <c r="A440" s="17">
        <v>6828260</v>
      </c>
      <c r="B440" s="1">
        <v>46036</v>
      </c>
      <c r="C440">
        <v>9</v>
      </c>
    </row>
    <row r="441" spans="1:3" x14ac:dyDescent="0.25">
      <c r="A441" s="17">
        <v>7023463</v>
      </c>
      <c r="B441" s="1">
        <v>46036</v>
      </c>
      <c r="C441">
        <v>38</v>
      </c>
    </row>
    <row r="442" spans="1:3" x14ac:dyDescent="0.25">
      <c r="A442" s="17">
        <v>7165581</v>
      </c>
      <c r="B442" s="1">
        <v>46036</v>
      </c>
      <c r="C442">
        <v>51</v>
      </c>
    </row>
    <row r="443" spans="1:3" x14ac:dyDescent="0.25">
      <c r="A443" s="17">
        <v>7747619</v>
      </c>
      <c r="B443" s="1">
        <v>46036</v>
      </c>
      <c r="C443">
        <v>31</v>
      </c>
    </row>
    <row r="444" spans="1:3" x14ac:dyDescent="0.25">
      <c r="A444" s="17">
        <v>7944400</v>
      </c>
      <c r="B444" s="1">
        <v>46036</v>
      </c>
      <c r="C444">
        <v>17</v>
      </c>
    </row>
    <row r="445" spans="1:3" x14ac:dyDescent="0.25">
      <c r="A445" s="17">
        <v>8306905</v>
      </c>
      <c r="B445" s="1">
        <v>46036</v>
      </c>
      <c r="C445">
        <v>34</v>
      </c>
    </row>
    <row r="446" spans="1:3" x14ac:dyDescent="0.25">
      <c r="A446" s="17">
        <v>8405468</v>
      </c>
      <c r="B446" s="1">
        <v>46036</v>
      </c>
      <c r="C446">
        <v>0</v>
      </c>
    </row>
    <row r="447" spans="1:3" x14ac:dyDescent="0.25">
      <c r="A447" s="17">
        <v>8551457</v>
      </c>
      <c r="B447" s="1">
        <v>46036</v>
      </c>
      <c r="C447">
        <v>20</v>
      </c>
    </row>
    <row r="448" spans="1:3" x14ac:dyDescent="0.25">
      <c r="A448" s="17">
        <v>8860153</v>
      </c>
      <c r="B448" s="1">
        <v>46036</v>
      </c>
      <c r="C448">
        <v>6</v>
      </c>
    </row>
    <row r="449" spans="1:3" x14ac:dyDescent="0.25">
      <c r="A449" s="17">
        <v>9044404</v>
      </c>
      <c r="B449" s="1">
        <v>46036</v>
      </c>
      <c r="C449">
        <v>15</v>
      </c>
    </row>
    <row r="450" spans="1:3" x14ac:dyDescent="0.25">
      <c r="A450" s="17">
        <v>9115955</v>
      </c>
      <c r="B450" s="1">
        <v>46036</v>
      </c>
      <c r="C450">
        <v>14</v>
      </c>
    </row>
    <row r="451" spans="1:3" x14ac:dyDescent="0.25">
      <c r="A451" s="17">
        <v>9292315</v>
      </c>
      <c r="B451" s="1">
        <v>46036</v>
      </c>
      <c r="C451">
        <v>52</v>
      </c>
    </row>
    <row r="452" spans="1:3" x14ac:dyDescent="0.25">
      <c r="A452" s="17">
        <v>1088638</v>
      </c>
      <c r="B452" s="1">
        <v>46037</v>
      </c>
      <c r="C452">
        <v>67</v>
      </c>
    </row>
    <row r="453" spans="1:3" x14ac:dyDescent="0.25">
      <c r="A453" s="17">
        <v>1253167</v>
      </c>
      <c r="B453" s="1">
        <v>46037</v>
      </c>
      <c r="C453">
        <v>0</v>
      </c>
    </row>
    <row r="454" spans="1:3" x14ac:dyDescent="0.25">
      <c r="A454" s="17">
        <v>1331817</v>
      </c>
      <c r="B454" s="1">
        <v>46037</v>
      </c>
      <c r="C454">
        <v>19</v>
      </c>
    </row>
    <row r="455" spans="1:3" x14ac:dyDescent="0.25">
      <c r="A455" s="17">
        <v>1711217</v>
      </c>
      <c r="B455" s="1">
        <v>46037</v>
      </c>
      <c r="C455">
        <v>28</v>
      </c>
    </row>
    <row r="456" spans="1:3" x14ac:dyDescent="0.25">
      <c r="A456" s="17">
        <v>2012714</v>
      </c>
      <c r="B456" s="1">
        <v>46037</v>
      </c>
      <c r="C456">
        <v>8</v>
      </c>
    </row>
    <row r="457" spans="1:3" x14ac:dyDescent="0.25">
      <c r="A457" s="17">
        <v>2310329</v>
      </c>
      <c r="B457" s="1">
        <v>46037</v>
      </c>
      <c r="C457">
        <v>17</v>
      </c>
    </row>
    <row r="458" spans="1:3" x14ac:dyDescent="0.25">
      <c r="A458" s="17">
        <v>2424707</v>
      </c>
      <c r="B458" s="1">
        <v>46037</v>
      </c>
      <c r="C458">
        <v>28</v>
      </c>
    </row>
    <row r="459" spans="1:3" x14ac:dyDescent="0.25">
      <c r="A459" s="17">
        <v>2732499</v>
      </c>
      <c r="B459" s="1">
        <v>46037</v>
      </c>
      <c r="C459">
        <v>36</v>
      </c>
    </row>
    <row r="460" spans="1:3" x14ac:dyDescent="0.25">
      <c r="A460" s="17">
        <v>2858379</v>
      </c>
      <c r="B460" s="1">
        <v>46037</v>
      </c>
      <c r="C460">
        <v>12</v>
      </c>
    </row>
    <row r="461" spans="1:3" x14ac:dyDescent="0.25">
      <c r="A461" s="17">
        <v>2982488</v>
      </c>
      <c r="B461" s="1">
        <v>46037</v>
      </c>
      <c r="C461">
        <v>17</v>
      </c>
    </row>
    <row r="462" spans="1:3" x14ac:dyDescent="0.25">
      <c r="A462" s="17">
        <v>3894456</v>
      </c>
      <c r="B462" s="1">
        <v>46037</v>
      </c>
      <c r="C462">
        <v>2</v>
      </c>
    </row>
    <row r="463" spans="1:3" x14ac:dyDescent="0.25">
      <c r="A463" s="17">
        <v>4255235</v>
      </c>
      <c r="B463" s="1">
        <v>46037</v>
      </c>
      <c r="C463">
        <v>37</v>
      </c>
    </row>
    <row r="464" spans="1:3" x14ac:dyDescent="0.25">
      <c r="A464" s="17">
        <v>5619128</v>
      </c>
      <c r="B464" s="1">
        <v>46037</v>
      </c>
      <c r="C464">
        <v>14</v>
      </c>
    </row>
    <row r="465" spans="1:3" x14ac:dyDescent="0.25">
      <c r="A465" s="17">
        <v>5624747</v>
      </c>
      <c r="B465" s="1">
        <v>46037</v>
      </c>
      <c r="C465">
        <v>8</v>
      </c>
    </row>
    <row r="466" spans="1:3" x14ac:dyDescent="0.25">
      <c r="A466" s="17">
        <v>6230104</v>
      </c>
      <c r="B466" s="1">
        <v>46037</v>
      </c>
      <c r="C466">
        <v>23</v>
      </c>
    </row>
    <row r="467" spans="1:3" x14ac:dyDescent="0.25">
      <c r="A467" s="17">
        <v>6334728</v>
      </c>
      <c r="B467" s="1">
        <v>46037</v>
      </c>
      <c r="C467">
        <v>13</v>
      </c>
    </row>
    <row r="468" spans="1:3" x14ac:dyDescent="0.25">
      <c r="A468" s="17">
        <v>6341525</v>
      </c>
      <c r="B468" s="1">
        <v>46037</v>
      </c>
      <c r="C468">
        <v>7</v>
      </c>
    </row>
    <row r="469" spans="1:3" x14ac:dyDescent="0.25">
      <c r="A469" s="17">
        <v>6825224</v>
      </c>
      <c r="B469" s="1">
        <v>46037</v>
      </c>
      <c r="C469">
        <v>55</v>
      </c>
    </row>
    <row r="470" spans="1:3" x14ac:dyDescent="0.25">
      <c r="A470" s="17">
        <v>6828260</v>
      </c>
      <c r="B470" s="1">
        <v>46037</v>
      </c>
      <c r="C470">
        <v>7</v>
      </c>
    </row>
    <row r="471" spans="1:3" x14ac:dyDescent="0.25">
      <c r="A471" s="17">
        <v>7023463</v>
      </c>
      <c r="B471" s="1">
        <v>46037</v>
      </c>
      <c r="C471">
        <v>38</v>
      </c>
    </row>
    <row r="472" spans="1:3" x14ac:dyDescent="0.25">
      <c r="A472" s="17">
        <v>7165581</v>
      </c>
      <c r="B472" s="1">
        <v>46037</v>
      </c>
      <c r="C472">
        <v>50</v>
      </c>
    </row>
    <row r="473" spans="1:3" x14ac:dyDescent="0.25">
      <c r="A473" s="17">
        <v>7747619</v>
      </c>
      <c r="B473" s="1">
        <v>46037</v>
      </c>
      <c r="C473">
        <v>31</v>
      </c>
    </row>
    <row r="474" spans="1:3" x14ac:dyDescent="0.25">
      <c r="A474" s="17">
        <v>7944400</v>
      </c>
      <c r="B474" s="1">
        <v>46037</v>
      </c>
      <c r="C474">
        <v>17</v>
      </c>
    </row>
    <row r="475" spans="1:3" x14ac:dyDescent="0.25">
      <c r="A475" s="17">
        <v>8306905</v>
      </c>
      <c r="B475" s="1">
        <v>46037</v>
      </c>
      <c r="C475">
        <v>34</v>
      </c>
    </row>
    <row r="476" spans="1:3" x14ac:dyDescent="0.25">
      <c r="A476" s="17">
        <v>8405468</v>
      </c>
      <c r="B476" s="1">
        <v>46037</v>
      </c>
      <c r="C476">
        <v>0</v>
      </c>
    </row>
    <row r="477" spans="1:3" x14ac:dyDescent="0.25">
      <c r="A477" s="17">
        <v>8551457</v>
      </c>
      <c r="B477" s="1">
        <v>46037</v>
      </c>
      <c r="C477">
        <v>20</v>
      </c>
    </row>
    <row r="478" spans="1:3" x14ac:dyDescent="0.25">
      <c r="A478" s="17">
        <v>8860153</v>
      </c>
      <c r="B478" s="1">
        <v>46037</v>
      </c>
      <c r="C478">
        <v>5</v>
      </c>
    </row>
    <row r="479" spans="1:3" x14ac:dyDescent="0.25">
      <c r="A479" s="17">
        <v>9044404</v>
      </c>
      <c r="B479" s="1">
        <v>46037</v>
      </c>
      <c r="C479">
        <v>15</v>
      </c>
    </row>
    <row r="480" spans="1:3" x14ac:dyDescent="0.25">
      <c r="A480" s="17">
        <v>9115955</v>
      </c>
      <c r="B480" s="1">
        <v>46037</v>
      </c>
      <c r="C480">
        <v>14</v>
      </c>
    </row>
    <row r="481" spans="1:3" x14ac:dyDescent="0.25">
      <c r="A481" s="17">
        <v>9292315</v>
      </c>
      <c r="B481" s="1">
        <v>46037</v>
      </c>
      <c r="C481">
        <v>48</v>
      </c>
    </row>
    <row r="482" spans="1:3" x14ac:dyDescent="0.25">
      <c r="A482" s="17">
        <v>1088638</v>
      </c>
      <c r="B482" s="1">
        <v>46038</v>
      </c>
      <c r="C482">
        <v>61</v>
      </c>
    </row>
    <row r="483" spans="1:3" x14ac:dyDescent="0.25">
      <c r="A483" s="17">
        <v>1253167</v>
      </c>
      <c r="B483" s="1">
        <v>46038</v>
      </c>
      <c r="C483">
        <v>0</v>
      </c>
    </row>
    <row r="484" spans="1:3" x14ac:dyDescent="0.25">
      <c r="A484" s="17">
        <v>1331817</v>
      </c>
      <c r="B484" s="1">
        <v>46038</v>
      </c>
      <c r="C484">
        <v>19</v>
      </c>
    </row>
    <row r="485" spans="1:3" x14ac:dyDescent="0.25">
      <c r="A485" s="17">
        <v>1711217</v>
      </c>
      <c r="B485" s="1">
        <v>46038</v>
      </c>
      <c r="C485">
        <v>26</v>
      </c>
    </row>
    <row r="486" spans="1:3" x14ac:dyDescent="0.25">
      <c r="A486" s="17">
        <v>2012714</v>
      </c>
      <c r="B486" s="1">
        <v>46038</v>
      </c>
      <c r="C486">
        <v>8</v>
      </c>
    </row>
    <row r="487" spans="1:3" x14ac:dyDescent="0.25">
      <c r="A487" s="17">
        <v>2310329</v>
      </c>
      <c r="B487" s="1">
        <v>46038</v>
      </c>
      <c r="C487">
        <v>17</v>
      </c>
    </row>
    <row r="488" spans="1:3" x14ac:dyDescent="0.25">
      <c r="A488" s="17">
        <v>2424707</v>
      </c>
      <c r="B488" s="1">
        <v>46038</v>
      </c>
      <c r="C488">
        <v>28</v>
      </c>
    </row>
    <row r="489" spans="1:3" x14ac:dyDescent="0.25">
      <c r="A489" s="17">
        <v>2732499</v>
      </c>
      <c r="B489" s="1">
        <v>46038</v>
      </c>
      <c r="C489">
        <v>35</v>
      </c>
    </row>
    <row r="490" spans="1:3" x14ac:dyDescent="0.25">
      <c r="A490" s="17">
        <v>2858379</v>
      </c>
      <c r="B490" s="1">
        <v>46038</v>
      </c>
      <c r="C490">
        <v>12</v>
      </c>
    </row>
    <row r="491" spans="1:3" x14ac:dyDescent="0.25">
      <c r="A491" s="17">
        <v>2982488</v>
      </c>
      <c r="B491" s="1">
        <v>46038</v>
      </c>
      <c r="C491">
        <v>17</v>
      </c>
    </row>
    <row r="492" spans="1:3" x14ac:dyDescent="0.25">
      <c r="A492" s="17">
        <v>3894456</v>
      </c>
      <c r="B492" s="1">
        <v>46038</v>
      </c>
      <c r="C492">
        <v>2</v>
      </c>
    </row>
    <row r="493" spans="1:3" x14ac:dyDescent="0.25">
      <c r="A493" s="17">
        <v>4255235</v>
      </c>
      <c r="B493" s="1">
        <v>46038</v>
      </c>
      <c r="C493">
        <v>37</v>
      </c>
    </row>
    <row r="494" spans="1:3" x14ac:dyDescent="0.25">
      <c r="A494" s="17">
        <v>5619128</v>
      </c>
      <c r="B494" s="1">
        <v>46038</v>
      </c>
      <c r="C494">
        <v>13</v>
      </c>
    </row>
    <row r="495" spans="1:3" x14ac:dyDescent="0.25">
      <c r="A495" s="17">
        <v>5624747</v>
      </c>
      <c r="B495" s="1">
        <v>46038</v>
      </c>
      <c r="C495">
        <v>8</v>
      </c>
    </row>
    <row r="496" spans="1:3" x14ac:dyDescent="0.25">
      <c r="A496" s="17">
        <v>6230104</v>
      </c>
      <c r="B496" s="1">
        <v>46038</v>
      </c>
      <c r="C496">
        <v>23</v>
      </c>
    </row>
    <row r="497" spans="1:3" x14ac:dyDescent="0.25">
      <c r="A497" s="17">
        <v>6334728</v>
      </c>
      <c r="B497" s="1">
        <v>46038</v>
      </c>
      <c r="C497">
        <v>13</v>
      </c>
    </row>
    <row r="498" spans="1:3" x14ac:dyDescent="0.25">
      <c r="A498" s="17">
        <v>6341525</v>
      </c>
      <c r="B498" s="1">
        <v>46038</v>
      </c>
      <c r="C498">
        <v>7</v>
      </c>
    </row>
    <row r="499" spans="1:3" x14ac:dyDescent="0.25">
      <c r="A499" s="17">
        <v>6825224</v>
      </c>
      <c r="B499" s="1">
        <v>46038</v>
      </c>
      <c r="C499">
        <v>50</v>
      </c>
    </row>
    <row r="500" spans="1:3" x14ac:dyDescent="0.25">
      <c r="A500" s="17">
        <v>6828260</v>
      </c>
      <c r="B500" s="1">
        <v>46038</v>
      </c>
      <c r="C500">
        <v>5</v>
      </c>
    </row>
    <row r="501" spans="1:3" x14ac:dyDescent="0.25">
      <c r="A501" s="17">
        <v>7023463</v>
      </c>
      <c r="B501" s="1">
        <v>46038</v>
      </c>
      <c r="C501">
        <v>38</v>
      </c>
    </row>
    <row r="502" spans="1:3" x14ac:dyDescent="0.25">
      <c r="A502" s="17">
        <v>7165581</v>
      </c>
      <c r="B502" s="1">
        <v>46038</v>
      </c>
      <c r="C502">
        <v>47</v>
      </c>
    </row>
    <row r="503" spans="1:3" x14ac:dyDescent="0.25">
      <c r="A503" s="17">
        <v>7747619</v>
      </c>
      <c r="B503" s="1">
        <v>46038</v>
      </c>
      <c r="C503">
        <v>31</v>
      </c>
    </row>
    <row r="504" spans="1:3" x14ac:dyDescent="0.25">
      <c r="A504" s="17">
        <v>7944400</v>
      </c>
      <c r="B504" s="1">
        <v>46038</v>
      </c>
      <c r="C504">
        <v>17</v>
      </c>
    </row>
    <row r="505" spans="1:3" x14ac:dyDescent="0.25">
      <c r="A505" s="17">
        <v>8306905</v>
      </c>
      <c r="B505" s="1">
        <v>46038</v>
      </c>
      <c r="C505">
        <v>34</v>
      </c>
    </row>
    <row r="506" spans="1:3" x14ac:dyDescent="0.25">
      <c r="A506" s="17">
        <v>8405468</v>
      </c>
      <c r="B506" s="1">
        <v>46038</v>
      </c>
      <c r="C506">
        <v>0</v>
      </c>
    </row>
    <row r="507" spans="1:3" x14ac:dyDescent="0.25">
      <c r="A507" s="17">
        <v>8551457</v>
      </c>
      <c r="B507" s="1">
        <v>46038</v>
      </c>
      <c r="C507">
        <v>20</v>
      </c>
    </row>
    <row r="508" spans="1:3" x14ac:dyDescent="0.25">
      <c r="A508" s="17">
        <v>8860153</v>
      </c>
      <c r="B508" s="1">
        <v>46038</v>
      </c>
      <c r="C508">
        <v>5</v>
      </c>
    </row>
    <row r="509" spans="1:3" x14ac:dyDescent="0.25">
      <c r="A509" s="17">
        <v>9044404</v>
      </c>
      <c r="B509" s="1">
        <v>46038</v>
      </c>
      <c r="C509">
        <v>15</v>
      </c>
    </row>
    <row r="510" spans="1:3" x14ac:dyDescent="0.25">
      <c r="A510" s="17">
        <v>9115955</v>
      </c>
      <c r="B510" s="1">
        <v>46038</v>
      </c>
      <c r="C510">
        <v>14</v>
      </c>
    </row>
    <row r="511" spans="1:3" x14ac:dyDescent="0.25">
      <c r="A511" s="17">
        <v>9292315</v>
      </c>
      <c r="B511" s="1">
        <v>46038</v>
      </c>
      <c r="C511">
        <v>44</v>
      </c>
    </row>
    <row r="512" spans="1:3" x14ac:dyDescent="0.25">
      <c r="A512" s="17">
        <v>1088638</v>
      </c>
      <c r="B512" s="1">
        <v>46039</v>
      </c>
      <c r="C512">
        <v>58</v>
      </c>
    </row>
    <row r="513" spans="1:3" x14ac:dyDescent="0.25">
      <c r="A513" s="17">
        <v>1253167</v>
      </c>
      <c r="B513" s="1">
        <v>46039</v>
      </c>
      <c r="C513">
        <v>0</v>
      </c>
    </row>
    <row r="514" spans="1:3" x14ac:dyDescent="0.25">
      <c r="A514" s="17">
        <v>1331817</v>
      </c>
      <c r="B514" s="1">
        <v>46039</v>
      </c>
      <c r="C514">
        <v>19</v>
      </c>
    </row>
    <row r="515" spans="1:3" x14ac:dyDescent="0.25">
      <c r="A515" s="17">
        <v>1711217</v>
      </c>
      <c r="B515" s="1">
        <v>46039</v>
      </c>
      <c r="C515">
        <v>22</v>
      </c>
    </row>
    <row r="516" spans="1:3" x14ac:dyDescent="0.25">
      <c r="A516" s="17">
        <v>2012714</v>
      </c>
      <c r="B516" s="1">
        <v>46039</v>
      </c>
      <c r="C516">
        <v>8</v>
      </c>
    </row>
    <row r="517" spans="1:3" x14ac:dyDescent="0.25">
      <c r="A517" s="17">
        <v>2310329</v>
      </c>
      <c r="B517" s="1">
        <v>46039</v>
      </c>
      <c r="C517">
        <v>17</v>
      </c>
    </row>
    <row r="518" spans="1:3" x14ac:dyDescent="0.25">
      <c r="A518" s="17">
        <v>2424707</v>
      </c>
      <c r="B518" s="1">
        <v>46039</v>
      </c>
      <c r="C518">
        <v>26</v>
      </c>
    </row>
    <row r="519" spans="1:3" x14ac:dyDescent="0.25">
      <c r="A519" s="17">
        <v>2732499</v>
      </c>
      <c r="B519" s="1">
        <v>46039</v>
      </c>
      <c r="C519">
        <v>35</v>
      </c>
    </row>
    <row r="520" spans="1:3" x14ac:dyDescent="0.25">
      <c r="A520" s="17">
        <v>2858379</v>
      </c>
      <c r="B520" s="1">
        <v>46039</v>
      </c>
      <c r="C520">
        <v>12</v>
      </c>
    </row>
    <row r="521" spans="1:3" x14ac:dyDescent="0.25">
      <c r="A521" s="17">
        <v>2982488</v>
      </c>
      <c r="B521" s="1">
        <v>46039</v>
      </c>
      <c r="C521">
        <v>17</v>
      </c>
    </row>
    <row r="522" spans="1:3" x14ac:dyDescent="0.25">
      <c r="A522" s="17">
        <v>3894456</v>
      </c>
      <c r="B522" s="1">
        <v>46039</v>
      </c>
      <c r="C522">
        <v>2</v>
      </c>
    </row>
    <row r="523" spans="1:3" x14ac:dyDescent="0.25">
      <c r="A523" s="17">
        <v>4255235</v>
      </c>
      <c r="B523" s="1">
        <v>46039</v>
      </c>
      <c r="C523">
        <v>34</v>
      </c>
    </row>
    <row r="524" spans="1:3" x14ac:dyDescent="0.25">
      <c r="A524" s="17">
        <v>5619128</v>
      </c>
      <c r="B524" s="1">
        <v>46039</v>
      </c>
      <c r="C524">
        <v>12</v>
      </c>
    </row>
    <row r="525" spans="1:3" x14ac:dyDescent="0.25">
      <c r="A525" s="17">
        <v>5624747</v>
      </c>
      <c r="B525" s="1">
        <v>46039</v>
      </c>
      <c r="C525">
        <v>8</v>
      </c>
    </row>
    <row r="526" spans="1:3" x14ac:dyDescent="0.25">
      <c r="A526" s="17">
        <v>6230104</v>
      </c>
      <c r="B526" s="1">
        <v>46039</v>
      </c>
      <c r="C526">
        <v>23</v>
      </c>
    </row>
    <row r="527" spans="1:3" x14ac:dyDescent="0.25">
      <c r="A527" s="17">
        <v>6334728</v>
      </c>
      <c r="B527" s="1">
        <v>46039</v>
      </c>
      <c r="C527">
        <v>12</v>
      </c>
    </row>
    <row r="528" spans="1:3" x14ac:dyDescent="0.25">
      <c r="A528" s="17">
        <v>6341525</v>
      </c>
      <c r="B528" s="1">
        <v>46039</v>
      </c>
      <c r="C528">
        <v>7</v>
      </c>
    </row>
    <row r="529" spans="1:3" x14ac:dyDescent="0.25">
      <c r="A529" s="17">
        <v>6825224</v>
      </c>
      <c r="B529" s="1">
        <v>46039</v>
      </c>
      <c r="C529">
        <v>50</v>
      </c>
    </row>
    <row r="530" spans="1:3" x14ac:dyDescent="0.25">
      <c r="A530" s="17">
        <v>6828260</v>
      </c>
      <c r="B530" s="1">
        <v>46039</v>
      </c>
      <c r="C530">
        <v>4</v>
      </c>
    </row>
    <row r="531" spans="1:3" x14ac:dyDescent="0.25">
      <c r="A531" s="17">
        <v>7023463</v>
      </c>
      <c r="B531" s="1">
        <v>46039</v>
      </c>
      <c r="C531">
        <v>33</v>
      </c>
    </row>
    <row r="532" spans="1:3" x14ac:dyDescent="0.25">
      <c r="A532" s="17">
        <v>7165581</v>
      </c>
      <c r="B532" s="1">
        <v>46039</v>
      </c>
      <c r="C532">
        <v>47</v>
      </c>
    </row>
    <row r="533" spans="1:3" x14ac:dyDescent="0.25">
      <c r="A533" s="17">
        <v>7747619</v>
      </c>
      <c r="B533" s="1">
        <v>46039</v>
      </c>
      <c r="C533">
        <v>31</v>
      </c>
    </row>
    <row r="534" spans="1:3" x14ac:dyDescent="0.25">
      <c r="A534" s="17">
        <v>7944400</v>
      </c>
      <c r="B534" s="1">
        <v>46039</v>
      </c>
      <c r="C534">
        <v>17</v>
      </c>
    </row>
    <row r="535" spans="1:3" x14ac:dyDescent="0.25">
      <c r="A535" s="17">
        <v>8306905</v>
      </c>
      <c r="B535" s="1">
        <v>46039</v>
      </c>
      <c r="C535">
        <v>34</v>
      </c>
    </row>
    <row r="536" spans="1:3" x14ac:dyDescent="0.25">
      <c r="A536" s="17">
        <v>8405468</v>
      </c>
      <c r="B536" s="1">
        <v>46039</v>
      </c>
      <c r="C536">
        <v>0</v>
      </c>
    </row>
    <row r="537" spans="1:3" x14ac:dyDescent="0.25">
      <c r="A537" s="17">
        <v>8551457</v>
      </c>
      <c r="B537" s="1">
        <v>46039</v>
      </c>
      <c r="C537">
        <v>17</v>
      </c>
    </row>
    <row r="538" spans="1:3" x14ac:dyDescent="0.25">
      <c r="A538" s="17">
        <v>8860153</v>
      </c>
      <c r="B538" s="1">
        <v>46039</v>
      </c>
      <c r="C538">
        <v>5</v>
      </c>
    </row>
    <row r="539" spans="1:3" x14ac:dyDescent="0.25">
      <c r="A539" s="17">
        <v>9044404</v>
      </c>
      <c r="B539" s="1">
        <v>46039</v>
      </c>
      <c r="C539">
        <v>15</v>
      </c>
    </row>
    <row r="540" spans="1:3" x14ac:dyDescent="0.25">
      <c r="A540" s="17">
        <v>9115955</v>
      </c>
      <c r="B540" s="1">
        <v>46039</v>
      </c>
      <c r="C540">
        <v>14</v>
      </c>
    </row>
    <row r="541" spans="1:3" x14ac:dyDescent="0.25">
      <c r="A541" s="17">
        <v>9292315</v>
      </c>
      <c r="B541" s="1">
        <v>46039</v>
      </c>
      <c r="C541">
        <v>40</v>
      </c>
    </row>
    <row r="542" spans="1:3" x14ac:dyDescent="0.25">
      <c r="A542" s="17">
        <v>1088638</v>
      </c>
      <c r="B542" s="1">
        <v>46040</v>
      </c>
      <c r="C542">
        <v>58</v>
      </c>
    </row>
    <row r="543" spans="1:3" x14ac:dyDescent="0.25">
      <c r="A543" s="17">
        <v>1253167</v>
      </c>
      <c r="B543" s="1">
        <v>46040</v>
      </c>
      <c r="C543">
        <v>0</v>
      </c>
    </row>
    <row r="544" spans="1:3" x14ac:dyDescent="0.25">
      <c r="A544" s="17">
        <v>1331817</v>
      </c>
      <c r="B544" s="1">
        <v>46040</v>
      </c>
      <c r="C544">
        <v>19</v>
      </c>
    </row>
    <row r="545" spans="1:3" x14ac:dyDescent="0.25">
      <c r="A545" s="17">
        <v>1711217</v>
      </c>
      <c r="B545" s="1">
        <v>46040</v>
      </c>
      <c r="C545">
        <v>22</v>
      </c>
    </row>
    <row r="546" spans="1:3" x14ac:dyDescent="0.25">
      <c r="A546" s="17">
        <v>2012714</v>
      </c>
      <c r="B546" s="1">
        <v>46040</v>
      </c>
      <c r="C546">
        <v>8</v>
      </c>
    </row>
    <row r="547" spans="1:3" x14ac:dyDescent="0.25">
      <c r="A547" s="17">
        <v>2310329</v>
      </c>
      <c r="B547" s="1">
        <v>46040</v>
      </c>
      <c r="C547">
        <v>17</v>
      </c>
    </row>
    <row r="548" spans="1:3" x14ac:dyDescent="0.25">
      <c r="A548" s="17">
        <v>2424707</v>
      </c>
      <c r="B548" s="1">
        <v>46040</v>
      </c>
      <c r="C548">
        <v>24</v>
      </c>
    </row>
    <row r="549" spans="1:3" x14ac:dyDescent="0.25">
      <c r="A549" s="17">
        <v>2732499</v>
      </c>
      <c r="B549" s="1">
        <v>46040</v>
      </c>
      <c r="C549">
        <v>31</v>
      </c>
    </row>
    <row r="550" spans="1:3" x14ac:dyDescent="0.25">
      <c r="A550" s="17">
        <v>2858379</v>
      </c>
      <c r="B550" s="1">
        <v>46040</v>
      </c>
      <c r="C550">
        <v>12</v>
      </c>
    </row>
    <row r="551" spans="1:3" x14ac:dyDescent="0.25">
      <c r="A551" s="17">
        <v>2982488</v>
      </c>
      <c r="B551" s="1">
        <v>46040</v>
      </c>
      <c r="C551">
        <v>17</v>
      </c>
    </row>
    <row r="552" spans="1:3" x14ac:dyDescent="0.25">
      <c r="A552" s="17">
        <v>3894456</v>
      </c>
      <c r="B552" s="1">
        <v>46040</v>
      </c>
      <c r="C552">
        <v>0</v>
      </c>
    </row>
    <row r="553" spans="1:3" x14ac:dyDescent="0.25">
      <c r="A553" s="17">
        <v>4255235</v>
      </c>
      <c r="B553" s="1">
        <v>46040</v>
      </c>
      <c r="C553">
        <v>34</v>
      </c>
    </row>
    <row r="554" spans="1:3" x14ac:dyDescent="0.25">
      <c r="A554" s="17">
        <v>5619128</v>
      </c>
      <c r="B554" s="1">
        <v>46040</v>
      </c>
      <c r="C554">
        <v>12</v>
      </c>
    </row>
    <row r="555" spans="1:3" x14ac:dyDescent="0.25">
      <c r="A555" s="17">
        <v>5624747</v>
      </c>
      <c r="B555" s="1">
        <v>46040</v>
      </c>
      <c r="C555">
        <v>8</v>
      </c>
    </row>
    <row r="556" spans="1:3" x14ac:dyDescent="0.25">
      <c r="A556" s="17">
        <v>6230104</v>
      </c>
      <c r="B556" s="1">
        <v>46040</v>
      </c>
      <c r="C556">
        <v>23</v>
      </c>
    </row>
    <row r="557" spans="1:3" x14ac:dyDescent="0.25">
      <c r="A557" s="17">
        <v>6334728</v>
      </c>
      <c r="B557" s="1">
        <v>46040</v>
      </c>
      <c r="C557">
        <v>12</v>
      </c>
    </row>
    <row r="558" spans="1:3" x14ac:dyDescent="0.25">
      <c r="A558" s="17">
        <v>6341525</v>
      </c>
      <c r="B558" s="1">
        <v>46040</v>
      </c>
      <c r="C558">
        <v>7</v>
      </c>
    </row>
    <row r="559" spans="1:3" x14ac:dyDescent="0.25">
      <c r="A559" s="17">
        <v>6825224</v>
      </c>
      <c r="B559" s="1">
        <v>46040</v>
      </c>
      <c r="C559">
        <v>49</v>
      </c>
    </row>
    <row r="560" spans="1:3" x14ac:dyDescent="0.25">
      <c r="A560" s="17">
        <v>6828260</v>
      </c>
      <c r="B560" s="1">
        <v>46040</v>
      </c>
      <c r="C560">
        <v>4</v>
      </c>
    </row>
    <row r="561" spans="1:3" x14ac:dyDescent="0.25">
      <c r="A561" s="17">
        <v>7023463</v>
      </c>
      <c r="B561" s="1">
        <v>46040</v>
      </c>
      <c r="C561">
        <v>29</v>
      </c>
    </row>
    <row r="562" spans="1:3" x14ac:dyDescent="0.25">
      <c r="A562" s="17">
        <v>7165581</v>
      </c>
      <c r="B562" s="1">
        <v>46040</v>
      </c>
      <c r="C562">
        <v>44</v>
      </c>
    </row>
    <row r="563" spans="1:3" x14ac:dyDescent="0.25">
      <c r="A563" s="17">
        <v>7747619</v>
      </c>
      <c r="B563" s="1">
        <v>46040</v>
      </c>
      <c r="C563">
        <v>28</v>
      </c>
    </row>
    <row r="564" spans="1:3" x14ac:dyDescent="0.25">
      <c r="A564" s="17">
        <v>7944400</v>
      </c>
      <c r="B564" s="1">
        <v>46040</v>
      </c>
      <c r="C564">
        <v>17</v>
      </c>
    </row>
    <row r="565" spans="1:3" x14ac:dyDescent="0.25">
      <c r="A565" s="17">
        <v>8306905</v>
      </c>
      <c r="B565" s="1">
        <v>46040</v>
      </c>
      <c r="C565">
        <v>30</v>
      </c>
    </row>
    <row r="566" spans="1:3" x14ac:dyDescent="0.25">
      <c r="A566" s="17">
        <v>8405468</v>
      </c>
      <c r="B566" s="1">
        <v>46040</v>
      </c>
      <c r="C566">
        <v>0</v>
      </c>
    </row>
    <row r="567" spans="1:3" x14ac:dyDescent="0.25">
      <c r="A567" s="17">
        <v>8551457</v>
      </c>
      <c r="B567" s="1">
        <v>46040</v>
      </c>
      <c r="C567">
        <v>17</v>
      </c>
    </row>
    <row r="568" spans="1:3" x14ac:dyDescent="0.25">
      <c r="A568" s="17">
        <v>8860153</v>
      </c>
      <c r="B568" s="1">
        <v>46040</v>
      </c>
      <c r="C568">
        <v>5</v>
      </c>
    </row>
    <row r="569" spans="1:3" x14ac:dyDescent="0.25">
      <c r="A569" s="17">
        <v>9044404</v>
      </c>
      <c r="B569" s="1">
        <v>46040</v>
      </c>
      <c r="C569">
        <v>15</v>
      </c>
    </row>
    <row r="570" spans="1:3" x14ac:dyDescent="0.25">
      <c r="A570" s="17">
        <v>9115955</v>
      </c>
      <c r="B570" s="1">
        <v>46040</v>
      </c>
      <c r="C570">
        <v>14</v>
      </c>
    </row>
    <row r="571" spans="1:3" x14ac:dyDescent="0.25">
      <c r="A571" s="17">
        <v>9292315</v>
      </c>
      <c r="B571" s="1">
        <v>46040</v>
      </c>
      <c r="C571">
        <v>36</v>
      </c>
    </row>
    <row r="572" spans="1:3" x14ac:dyDescent="0.25">
      <c r="A572" s="17">
        <v>1088638</v>
      </c>
      <c r="B572" s="1">
        <v>46041</v>
      </c>
      <c r="C572">
        <v>56</v>
      </c>
    </row>
    <row r="573" spans="1:3" x14ac:dyDescent="0.25">
      <c r="A573" s="17">
        <v>1253167</v>
      </c>
      <c r="B573" s="1">
        <v>46041</v>
      </c>
      <c r="C573">
        <v>48</v>
      </c>
    </row>
    <row r="574" spans="1:3" x14ac:dyDescent="0.25">
      <c r="A574" s="17">
        <v>1331817</v>
      </c>
      <c r="B574" s="1">
        <v>46041</v>
      </c>
      <c r="C574">
        <v>18</v>
      </c>
    </row>
    <row r="575" spans="1:3" x14ac:dyDescent="0.25">
      <c r="A575" s="17">
        <v>1711217</v>
      </c>
      <c r="B575" s="1">
        <v>46041</v>
      </c>
      <c r="C575">
        <v>45</v>
      </c>
    </row>
    <row r="576" spans="1:3" x14ac:dyDescent="0.25">
      <c r="A576" s="17">
        <v>2012714</v>
      </c>
      <c r="B576" s="1">
        <v>46041</v>
      </c>
      <c r="C576">
        <v>8</v>
      </c>
    </row>
    <row r="577" spans="1:3" x14ac:dyDescent="0.25">
      <c r="A577" s="17">
        <v>2310329</v>
      </c>
      <c r="B577" s="1">
        <v>46041</v>
      </c>
      <c r="C577">
        <v>17</v>
      </c>
    </row>
    <row r="578" spans="1:3" x14ac:dyDescent="0.25">
      <c r="A578" s="17">
        <v>2424707</v>
      </c>
      <c r="B578" s="1">
        <v>46041</v>
      </c>
      <c r="C578">
        <v>24</v>
      </c>
    </row>
    <row r="579" spans="1:3" x14ac:dyDescent="0.25">
      <c r="A579" s="17">
        <v>2732499</v>
      </c>
      <c r="B579" s="1">
        <v>46041</v>
      </c>
      <c r="C579">
        <v>31</v>
      </c>
    </row>
    <row r="580" spans="1:3" x14ac:dyDescent="0.25">
      <c r="A580" s="17">
        <v>2858379</v>
      </c>
      <c r="B580" s="1">
        <v>46041</v>
      </c>
      <c r="C580">
        <v>12</v>
      </c>
    </row>
    <row r="581" spans="1:3" x14ac:dyDescent="0.25">
      <c r="A581" s="17">
        <v>2982488</v>
      </c>
      <c r="B581" s="1">
        <v>46041</v>
      </c>
      <c r="C581">
        <v>17</v>
      </c>
    </row>
    <row r="582" spans="1:3" x14ac:dyDescent="0.25">
      <c r="A582" s="17">
        <v>3894456</v>
      </c>
      <c r="B582" s="1">
        <v>46041</v>
      </c>
      <c r="C582">
        <v>24</v>
      </c>
    </row>
    <row r="583" spans="1:3" x14ac:dyDescent="0.25">
      <c r="A583" s="17">
        <v>4255235</v>
      </c>
      <c r="B583" s="1">
        <v>46041</v>
      </c>
      <c r="C583">
        <v>34</v>
      </c>
    </row>
    <row r="584" spans="1:3" x14ac:dyDescent="0.25">
      <c r="A584" s="17">
        <v>5619128</v>
      </c>
      <c r="B584" s="1">
        <v>46041</v>
      </c>
      <c r="C584">
        <v>12</v>
      </c>
    </row>
    <row r="585" spans="1:3" x14ac:dyDescent="0.25">
      <c r="A585" s="17">
        <v>5624747</v>
      </c>
      <c r="B585" s="1">
        <v>46041</v>
      </c>
      <c r="C585">
        <v>36</v>
      </c>
    </row>
    <row r="586" spans="1:3" x14ac:dyDescent="0.25">
      <c r="A586" s="17">
        <v>6230104</v>
      </c>
      <c r="B586" s="1">
        <v>46041</v>
      </c>
      <c r="C586">
        <v>23</v>
      </c>
    </row>
    <row r="587" spans="1:3" x14ac:dyDescent="0.25">
      <c r="A587" s="17">
        <v>6334728</v>
      </c>
      <c r="B587" s="1">
        <v>46041</v>
      </c>
      <c r="C587">
        <v>12</v>
      </c>
    </row>
    <row r="588" spans="1:3" x14ac:dyDescent="0.25">
      <c r="A588" s="17">
        <v>6341525</v>
      </c>
      <c r="B588" s="1">
        <v>46041</v>
      </c>
      <c r="C588">
        <v>7</v>
      </c>
    </row>
    <row r="589" spans="1:3" x14ac:dyDescent="0.25">
      <c r="A589" s="17">
        <v>6825224</v>
      </c>
      <c r="B589" s="1">
        <v>46041</v>
      </c>
      <c r="C589">
        <v>44</v>
      </c>
    </row>
    <row r="590" spans="1:3" x14ac:dyDescent="0.25">
      <c r="A590" s="17">
        <v>6828260</v>
      </c>
      <c r="B590" s="1">
        <v>46041</v>
      </c>
      <c r="C590">
        <v>32</v>
      </c>
    </row>
    <row r="591" spans="1:3" x14ac:dyDescent="0.25">
      <c r="A591" s="17">
        <v>7023463</v>
      </c>
      <c r="B591" s="1">
        <v>46041</v>
      </c>
      <c r="C591">
        <v>23</v>
      </c>
    </row>
    <row r="592" spans="1:3" x14ac:dyDescent="0.25">
      <c r="A592" s="17">
        <v>7165581</v>
      </c>
      <c r="B592" s="1">
        <v>46041</v>
      </c>
      <c r="C592">
        <v>44</v>
      </c>
    </row>
    <row r="593" spans="1:3" x14ac:dyDescent="0.25">
      <c r="A593" s="17">
        <v>7747619</v>
      </c>
      <c r="B593" s="1">
        <v>46041</v>
      </c>
      <c r="C593">
        <v>28</v>
      </c>
    </row>
    <row r="594" spans="1:3" x14ac:dyDescent="0.25">
      <c r="A594" s="17">
        <v>7944400</v>
      </c>
      <c r="B594" s="1">
        <v>46041</v>
      </c>
      <c r="C594">
        <v>17</v>
      </c>
    </row>
    <row r="595" spans="1:3" x14ac:dyDescent="0.25">
      <c r="A595" s="17">
        <v>8306905</v>
      </c>
      <c r="B595" s="1">
        <v>46041</v>
      </c>
      <c r="C595">
        <v>30</v>
      </c>
    </row>
    <row r="596" spans="1:3" x14ac:dyDescent="0.25">
      <c r="A596" s="17">
        <v>8405468</v>
      </c>
      <c r="B596" s="1">
        <v>46041</v>
      </c>
      <c r="C596">
        <v>26</v>
      </c>
    </row>
    <row r="597" spans="1:3" x14ac:dyDescent="0.25">
      <c r="A597" s="17">
        <v>8551457</v>
      </c>
      <c r="B597" s="1">
        <v>46041</v>
      </c>
      <c r="C597">
        <v>17</v>
      </c>
    </row>
    <row r="598" spans="1:3" x14ac:dyDescent="0.25">
      <c r="A598" s="17">
        <v>8860153</v>
      </c>
      <c r="B598" s="1">
        <v>46041</v>
      </c>
      <c r="C598">
        <v>4</v>
      </c>
    </row>
    <row r="599" spans="1:3" x14ac:dyDescent="0.25">
      <c r="A599" s="17">
        <v>9044404</v>
      </c>
      <c r="B599" s="1">
        <v>46041</v>
      </c>
      <c r="C599">
        <v>15</v>
      </c>
    </row>
    <row r="600" spans="1:3" x14ac:dyDescent="0.25">
      <c r="A600" s="17">
        <v>9115955</v>
      </c>
      <c r="B600" s="1">
        <v>46041</v>
      </c>
      <c r="C600">
        <v>14</v>
      </c>
    </row>
    <row r="601" spans="1:3" x14ac:dyDescent="0.25">
      <c r="A601" s="17">
        <v>9292315</v>
      </c>
      <c r="B601" s="1">
        <v>46041</v>
      </c>
      <c r="C601">
        <v>36</v>
      </c>
    </row>
    <row r="602" spans="1:3" x14ac:dyDescent="0.25">
      <c r="A602" s="17">
        <v>1088638</v>
      </c>
      <c r="B602" s="1">
        <v>46042</v>
      </c>
      <c r="C602">
        <v>56</v>
      </c>
    </row>
    <row r="603" spans="1:3" x14ac:dyDescent="0.25">
      <c r="A603" s="17">
        <v>1253167</v>
      </c>
      <c r="B603" s="1">
        <v>46042</v>
      </c>
      <c r="C603">
        <v>46</v>
      </c>
    </row>
    <row r="604" spans="1:3" x14ac:dyDescent="0.25">
      <c r="A604" s="17">
        <v>1331817</v>
      </c>
      <c r="B604" s="1">
        <v>46042</v>
      </c>
      <c r="C604">
        <v>16</v>
      </c>
    </row>
    <row r="605" spans="1:3" x14ac:dyDescent="0.25">
      <c r="A605" s="17">
        <v>1711217</v>
      </c>
      <c r="B605" s="1">
        <v>46042</v>
      </c>
      <c r="C605">
        <v>37</v>
      </c>
    </row>
    <row r="606" spans="1:3" x14ac:dyDescent="0.25">
      <c r="A606" s="17">
        <v>2012714</v>
      </c>
      <c r="B606" s="1">
        <v>46042</v>
      </c>
      <c r="C606">
        <v>8</v>
      </c>
    </row>
    <row r="607" spans="1:3" x14ac:dyDescent="0.25">
      <c r="A607" s="17">
        <v>2310329</v>
      </c>
      <c r="B607" s="1">
        <v>46042</v>
      </c>
      <c r="C607">
        <v>17</v>
      </c>
    </row>
    <row r="608" spans="1:3" x14ac:dyDescent="0.25">
      <c r="A608" s="17">
        <v>2424707</v>
      </c>
      <c r="B608" s="1">
        <v>46042</v>
      </c>
      <c r="C608">
        <v>24</v>
      </c>
    </row>
    <row r="609" spans="1:3" x14ac:dyDescent="0.25">
      <c r="A609" s="17">
        <v>2732499</v>
      </c>
      <c r="B609" s="1">
        <v>46042</v>
      </c>
      <c r="C609">
        <v>29</v>
      </c>
    </row>
    <row r="610" spans="1:3" x14ac:dyDescent="0.25">
      <c r="A610" s="17">
        <v>2858379</v>
      </c>
      <c r="B610" s="1">
        <v>46042</v>
      </c>
      <c r="C610">
        <v>12</v>
      </c>
    </row>
    <row r="611" spans="1:3" x14ac:dyDescent="0.25">
      <c r="A611" s="17">
        <v>2982488</v>
      </c>
      <c r="B611" s="1">
        <v>46042</v>
      </c>
      <c r="C611">
        <v>17</v>
      </c>
    </row>
    <row r="612" spans="1:3" x14ac:dyDescent="0.25">
      <c r="A612" s="17">
        <v>3894456</v>
      </c>
      <c r="B612" s="1">
        <v>46042</v>
      </c>
      <c r="C612">
        <v>24</v>
      </c>
    </row>
    <row r="613" spans="1:3" x14ac:dyDescent="0.25">
      <c r="A613" s="17">
        <v>4255235</v>
      </c>
      <c r="B613" s="1">
        <v>46042</v>
      </c>
      <c r="C613">
        <v>34</v>
      </c>
    </row>
    <row r="614" spans="1:3" x14ac:dyDescent="0.25">
      <c r="A614" s="17">
        <v>5619128</v>
      </c>
      <c r="B614" s="1">
        <v>46042</v>
      </c>
      <c r="C614">
        <v>12</v>
      </c>
    </row>
    <row r="615" spans="1:3" x14ac:dyDescent="0.25">
      <c r="A615" s="17">
        <v>5624747</v>
      </c>
      <c r="B615" s="1">
        <v>46042</v>
      </c>
      <c r="C615">
        <v>36</v>
      </c>
    </row>
    <row r="616" spans="1:3" x14ac:dyDescent="0.25">
      <c r="A616" s="17">
        <v>6230104</v>
      </c>
      <c r="B616" s="1">
        <v>46042</v>
      </c>
      <c r="C616">
        <v>23</v>
      </c>
    </row>
    <row r="617" spans="1:3" x14ac:dyDescent="0.25">
      <c r="A617" s="17">
        <v>6334728</v>
      </c>
      <c r="B617" s="1">
        <v>46042</v>
      </c>
      <c r="C617">
        <v>10</v>
      </c>
    </row>
    <row r="618" spans="1:3" x14ac:dyDescent="0.25">
      <c r="A618" s="17">
        <v>6341525</v>
      </c>
      <c r="B618" s="1">
        <v>46042</v>
      </c>
      <c r="C618">
        <v>7</v>
      </c>
    </row>
    <row r="619" spans="1:3" x14ac:dyDescent="0.25">
      <c r="A619" s="17">
        <v>6825224</v>
      </c>
      <c r="B619" s="1">
        <v>46042</v>
      </c>
      <c r="C619">
        <v>44</v>
      </c>
    </row>
    <row r="620" spans="1:3" x14ac:dyDescent="0.25">
      <c r="A620" s="17">
        <v>6828260</v>
      </c>
      <c r="B620" s="1">
        <v>46042</v>
      </c>
      <c r="C620">
        <v>32</v>
      </c>
    </row>
    <row r="621" spans="1:3" x14ac:dyDescent="0.25">
      <c r="A621" s="17">
        <v>7023463</v>
      </c>
      <c r="B621" s="1">
        <v>46042</v>
      </c>
      <c r="C621">
        <v>21</v>
      </c>
    </row>
    <row r="622" spans="1:3" x14ac:dyDescent="0.25">
      <c r="A622" s="17">
        <v>7165581</v>
      </c>
      <c r="B622" s="1">
        <v>46042</v>
      </c>
      <c r="C622">
        <v>42</v>
      </c>
    </row>
    <row r="623" spans="1:3" x14ac:dyDescent="0.25">
      <c r="A623" s="17">
        <v>7747619</v>
      </c>
      <c r="B623" s="1">
        <v>46042</v>
      </c>
      <c r="C623">
        <v>28</v>
      </c>
    </row>
    <row r="624" spans="1:3" x14ac:dyDescent="0.25">
      <c r="A624" s="17">
        <v>7944400</v>
      </c>
      <c r="B624" s="1">
        <v>46042</v>
      </c>
      <c r="C624">
        <v>17</v>
      </c>
    </row>
    <row r="625" spans="1:3" x14ac:dyDescent="0.25">
      <c r="A625" s="17">
        <v>8306905</v>
      </c>
      <c r="B625" s="1">
        <v>46042</v>
      </c>
      <c r="C625">
        <v>30</v>
      </c>
    </row>
    <row r="626" spans="1:3" x14ac:dyDescent="0.25">
      <c r="A626" s="17">
        <v>8405468</v>
      </c>
      <c r="B626" s="1">
        <v>46042</v>
      </c>
      <c r="C626">
        <v>26</v>
      </c>
    </row>
    <row r="627" spans="1:3" x14ac:dyDescent="0.25">
      <c r="A627" s="17">
        <v>8551457</v>
      </c>
      <c r="B627" s="1">
        <v>46042</v>
      </c>
      <c r="C627">
        <v>17</v>
      </c>
    </row>
    <row r="628" spans="1:3" x14ac:dyDescent="0.25">
      <c r="A628" s="17">
        <v>8860153</v>
      </c>
      <c r="B628" s="1">
        <v>46042</v>
      </c>
      <c r="C628">
        <v>4</v>
      </c>
    </row>
    <row r="629" spans="1:3" x14ac:dyDescent="0.25">
      <c r="A629" s="17">
        <v>9044404</v>
      </c>
      <c r="B629" s="1">
        <v>46042</v>
      </c>
      <c r="C629">
        <v>15</v>
      </c>
    </row>
    <row r="630" spans="1:3" x14ac:dyDescent="0.25">
      <c r="A630" s="17">
        <v>9115955</v>
      </c>
      <c r="B630" s="1">
        <v>46042</v>
      </c>
      <c r="C630">
        <v>14</v>
      </c>
    </row>
    <row r="631" spans="1:3" x14ac:dyDescent="0.25">
      <c r="A631" s="17">
        <v>9292315</v>
      </c>
      <c r="B631" s="1">
        <v>46042</v>
      </c>
      <c r="C631">
        <v>33</v>
      </c>
    </row>
    <row r="632" spans="1:3" x14ac:dyDescent="0.25">
      <c r="A632" s="17">
        <v>1088638</v>
      </c>
      <c r="B632" s="1">
        <v>46043</v>
      </c>
      <c r="C632">
        <v>56</v>
      </c>
    </row>
    <row r="633" spans="1:3" x14ac:dyDescent="0.25">
      <c r="A633" s="17">
        <v>1253167</v>
      </c>
      <c r="B633" s="1">
        <v>46043</v>
      </c>
      <c r="C633">
        <v>46</v>
      </c>
    </row>
    <row r="634" spans="1:3" x14ac:dyDescent="0.25">
      <c r="A634" s="17">
        <v>1331817</v>
      </c>
      <c r="B634" s="1">
        <v>46043</v>
      </c>
      <c r="C634">
        <v>16</v>
      </c>
    </row>
    <row r="635" spans="1:3" x14ac:dyDescent="0.25">
      <c r="A635" s="17">
        <v>1711217</v>
      </c>
      <c r="B635" s="1">
        <v>46043</v>
      </c>
      <c r="C635">
        <v>34</v>
      </c>
    </row>
    <row r="636" spans="1:3" x14ac:dyDescent="0.25">
      <c r="A636" s="17">
        <v>2012714</v>
      </c>
      <c r="B636" s="1">
        <v>46043</v>
      </c>
      <c r="C636">
        <v>8</v>
      </c>
    </row>
    <row r="637" spans="1:3" x14ac:dyDescent="0.25">
      <c r="A637" s="17">
        <v>2310329</v>
      </c>
      <c r="B637" s="1">
        <v>46043</v>
      </c>
      <c r="C637">
        <v>17</v>
      </c>
    </row>
    <row r="638" spans="1:3" x14ac:dyDescent="0.25">
      <c r="A638" s="17">
        <v>2424707</v>
      </c>
      <c r="B638" s="1">
        <v>46043</v>
      </c>
      <c r="C638">
        <v>24</v>
      </c>
    </row>
    <row r="639" spans="1:3" x14ac:dyDescent="0.25">
      <c r="A639" s="17">
        <v>2732499</v>
      </c>
      <c r="B639" s="1">
        <v>46043</v>
      </c>
      <c r="C639">
        <v>26</v>
      </c>
    </row>
    <row r="640" spans="1:3" x14ac:dyDescent="0.25">
      <c r="A640" s="17">
        <v>2858379</v>
      </c>
      <c r="B640" s="1">
        <v>46043</v>
      </c>
      <c r="C640">
        <v>9</v>
      </c>
    </row>
    <row r="641" spans="1:3" x14ac:dyDescent="0.25">
      <c r="A641" s="17">
        <v>2982488</v>
      </c>
      <c r="B641" s="1">
        <v>46043</v>
      </c>
      <c r="C641">
        <v>17</v>
      </c>
    </row>
    <row r="642" spans="1:3" x14ac:dyDescent="0.25">
      <c r="A642" s="17">
        <v>3894456</v>
      </c>
      <c r="B642" s="1">
        <v>46043</v>
      </c>
      <c r="C642">
        <v>24</v>
      </c>
    </row>
    <row r="643" spans="1:3" x14ac:dyDescent="0.25">
      <c r="A643" s="17">
        <v>4255235</v>
      </c>
      <c r="B643" s="1">
        <v>46043</v>
      </c>
      <c r="C643">
        <v>34</v>
      </c>
    </row>
    <row r="644" spans="1:3" x14ac:dyDescent="0.25">
      <c r="A644" s="17">
        <v>5619128</v>
      </c>
      <c r="B644" s="1">
        <v>46043</v>
      </c>
      <c r="C644">
        <v>12</v>
      </c>
    </row>
    <row r="645" spans="1:3" x14ac:dyDescent="0.25">
      <c r="A645" s="17">
        <v>5624747</v>
      </c>
      <c r="B645" s="1">
        <v>46043</v>
      </c>
      <c r="C645">
        <v>36</v>
      </c>
    </row>
    <row r="646" spans="1:3" x14ac:dyDescent="0.25">
      <c r="A646" s="17">
        <v>6230104</v>
      </c>
      <c r="B646" s="1">
        <v>46043</v>
      </c>
      <c r="C646">
        <v>23</v>
      </c>
    </row>
    <row r="647" spans="1:3" x14ac:dyDescent="0.25">
      <c r="A647" s="17">
        <v>6334728</v>
      </c>
      <c r="B647" s="1">
        <v>46043</v>
      </c>
      <c r="C647">
        <v>9</v>
      </c>
    </row>
    <row r="648" spans="1:3" x14ac:dyDescent="0.25">
      <c r="A648" s="17">
        <v>6341525</v>
      </c>
      <c r="B648" s="1">
        <v>46043</v>
      </c>
      <c r="C648">
        <v>7</v>
      </c>
    </row>
    <row r="649" spans="1:3" x14ac:dyDescent="0.25">
      <c r="A649" s="17">
        <v>6825224</v>
      </c>
      <c r="B649" s="1">
        <v>46043</v>
      </c>
      <c r="C649">
        <v>40</v>
      </c>
    </row>
    <row r="650" spans="1:3" x14ac:dyDescent="0.25">
      <c r="A650" s="17">
        <v>6828260</v>
      </c>
      <c r="B650" s="1">
        <v>46043</v>
      </c>
      <c r="C650">
        <v>32</v>
      </c>
    </row>
    <row r="651" spans="1:3" x14ac:dyDescent="0.25">
      <c r="A651" s="17">
        <v>7023463</v>
      </c>
      <c r="B651" s="1">
        <v>46043</v>
      </c>
      <c r="C651">
        <v>19</v>
      </c>
    </row>
    <row r="652" spans="1:3" x14ac:dyDescent="0.25">
      <c r="A652" s="17">
        <v>7165581</v>
      </c>
      <c r="B652" s="1">
        <v>46043</v>
      </c>
      <c r="C652">
        <v>42</v>
      </c>
    </row>
    <row r="653" spans="1:3" x14ac:dyDescent="0.25">
      <c r="A653" s="17">
        <v>7747619</v>
      </c>
      <c r="B653" s="1">
        <v>46043</v>
      </c>
      <c r="C653">
        <v>28</v>
      </c>
    </row>
    <row r="654" spans="1:3" x14ac:dyDescent="0.25">
      <c r="A654" s="17">
        <v>7944400</v>
      </c>
      <c r="B654" s="1">
        <v>46043</v>
      </c>
      <c r="C654">
        <v>17</v>
      </c>
    </row>
    <row r="655" spans="1:3" x14ac:dyDescent="0.25">
      <c r="A655" s="17">
        <v>8306905</v>
      </c>
      <c r="B655" s="1">
        <v>46043</v>
      </c>
      <c r="C655">
        <v>30</v>
      </c>
    </row>
    <row r="656" spans="1:3" x14ac:dyDescent="0.25">
      <c r="A656" s="17">
        <v>8405468</v>
      </c>
      <c r="B656" s="1">
        <v>46043</v>
      </c>
      <c r="C656">
        <v>24</v>
      </c>
    </row>
    <row r="657" spans="1:3" x14ac:dyDescent="0.25">
      <c r="A657" s="17">
        <v>8551457</v>
      </c>
      <c r="B657" s="1">
        <v>46043</v>
      </c>
      <c r="C657">
        <v>17</v>
      </c>
    </row>
    <row r="658" spans="1:3" x14ac:dyDescent="0.25">
      <c r="A658" s="17">
        <v>8860153</v>
      </c>
      <c r="B658" s="1">
        <v>46043</v>
      </c>
      <c r="C658">
        <v>4</v>
      </c>
    </row>
    <row r="659" spans="1:3" x14ac:dyDescent="0.25">
      <c r="A659" s="17">
        <v>9044404</v>
      </c>
      <c r="B659" s="1">
        <v>46043</v>
      </c>
      <c r="C659">
        <v>15</v>
      </c>
    </row>
    <row r="660" spans="1:3" x14ac:dyDescent="0.25">
      <c r="A660" s="17">
        <v>9115955</v>
      </c>
      <c r="B660" s="1">
        <v>46043</v>
      </c>
      <c r="C660">
        <v>14</v>
      </c>
    </row>
    <row r="661" spans="1:3" x14ac:dyDescent="0.25">
      <c r="A661" s="17">
        <v>9292315</v>
      </c>
      <c r="B661" s="1">
        <v>46043</v>
      </c>
      <c r="C661">
        <v>29</v>
      </c>
    </row>
    <row r="662" spans="1:3" x14ac:dyDescent="0.25">
      <c r="A662" s="17">
        <v>1088638</v>
      </c>
      <c r="B662" s="1">
        <v>46044</v>
      </c>
      <c r="C662">
        <v>54</v>
      </c>
    </row>
    <row r="663" spans="1:3" x14ac:dyDescent="0.25">
      <c r="A663" s="17">
        <v>1253167</v>
      </c>
      <c r="B663" s="1">
        <v>46044</v>
      </c>
      <c r="C663">
        <v>46</v>
      </c>
    </row>
    <row r="664" spans="1:3" x14ac:dyDescent="0.25">
      <c r="A664" s="17">
        <v>1331817</v>
      </c>
      <c r="B664" s="1">
        <v>46044</v>
      </c>
      <c r="C664">
        <v>16</v>
      </c>
    </row>
    <row r="665" spans="1:3" x14ac:dyDescent="0.25">
      <c r="A665" s="17">
        <v>1711217</v>
      </c>
      <c r="B665" s="1">
        <v>46044</v>
      </c>
      <c r="C665">
        <v>33</v>
      </c>
    </row>
    <row r="666" spans="1:3" x14ac:dyDescent="0.25">
      <c r="A666" s="17">
        <v>2012714</v>
      </c>
      <c r="B666" s="1">
        <v>46044</v>
      </c>
      <c r="C666">
        <v>8</v>
      </c>
    </row>
    <row r="667" spans="1:3" x14ac:dyDescent="0.25">
      <c r="A667" s="17">
        <v>2310329</v>
      </c>
      <c r="B667" s="1">
        <v>46044</v>
      </c>
      <c r="C667">
        <v>17</v>
      </c>
    </row>
    <row r="668" spans="1:3" x14ac:dyDescent="0.25">
      <c r="A668" s="17">
        <v>2424707</v>
      </c>
      <c r="B668" s="1">
        <v>46044</v>
      </c>
      <c r="C668">
        <v>24</v>
      </c>
    </row>
    <row r="669" spans="1:3" x14ac:dyDescent="0.25">
      <c r="A669" s="17">
        <v>2732499</v>
      </c>
      <c r="B669" s="1">
        <v>46044</v>
      </c>
      <c r="C669">
        <v>21</v>
      </c>
    </row>
    <row r="670" spans="1:3" x14ac:dyDescent="0.25">
      <c r="A670" s="17">
        <v>2858379</v>
      </c>
      <c r="B670" s="1">
        <v>46044</v>
      </c>
      <c r="C670">
        <v>9</v>
      </c>
    </row>
    <row r="671" spans="1:3" x14ac:dyDescent="0.25">
      <c r="A671" s="17">
        <v>2982488</v>
      </c>
      <c r="B671" s="1">
        <v>46044</v>
      </c>
      <c r="C671">
        <v>17</v>
      </c>
    </row>
    <row r="672" spans="1:3" x14ac:dyDescent="0.25">
      <c r="A672" s="17">
        <v>3894456</v>
      </c>
      <c r="B672" s="1">
        <v>46044</v>
      </c>
      <c r="C672">
        <v>24</v>
      </c>
    </row>
    <row r="673" spans="1:3" x14ac:dyDescent="0.25">
      <c r="A673" s="17">
        <v>4255235</v>
      </c>
      <c r="B673" s="1">
        <v>46044</v>
      </c>
      <c r="C673">
        <v>34</v>
      </c>
    </row>
    <row r="674" spans="1:3" x14ac:dyDescent="0.25">
      <c r="A674" s="17">
        <v>5619128</v>
      </c>
      <c r="B674" s="1">
        <v>46044</v>
      </c>
      <c r="C674">
        <v>12</v>
      </c>
    </row>
    <row r="675" spans="1:3" x14ac:dyDescent="0.25">
      <c r="A675" s="17">
        <v>5624747</v>
      </c>
      <c r="B675" s="1">
        <v>46044</v>
      </c>
      <c r="C675">
        <v>36</v>
      </c>
    </row>
    <row r="676" spans="1:3" x14ac:dyDescent="0.25">
      <c r="A676" s="17">
        <v>6230104</v>
      </c>
      <c r="B676" s="1">
        <v>46044</v>
      </c>
      <c r="C676">
        <v>23</v>
      </c>
    </row>
    <row r="677" spans="1:3" x14ac:dyDescent="0.25">
      <c r="A677" s="17">
        <v>6334728</v>
      </c>
      <c r="B677" s="1">
        <v>46044</v>
      </c>
      <c r="C677">
        <v>9</v>
      </c>
    </row>
    <row r="678" spans="1:3" x14ac:dyDescent="0.25">
      <c r="A678" s="17">
        <v>6341525</v>
      </c>
      <c r="B678" s="1">
        <v>46044</v>
      </c>
      <c r="C678">
        <v>7</v>
      </c>
    </row>
    <row r="679" spans="1:3" x14ac:dyDescent="0.25">
      <c r="A679" s="17">
        <v>6825224</v>
      </c>
      <c r="B679" s="1">
        <v>46044</v>
      </c>
      <c r="C679">
        <v>40</v>
      </c>
    </row>
    <row r="680" spans="1:3" x14ac:dyDescent="0.25">
      <c r="A680" s="17">
        <v>6828260</v>
      </c>
      <c r="B680" s="1">
        <v>46044</v>
      </c>
      <c r="C680">
        <v>30</v>
      </c>
    </row>
    <row r="681" spans="1:3" x14ac:dyDescent="0.25">
      <c r="A681" s="17">
        <v>7023463</v>
      </c>
      <c r="B681" s="1">
        <v>46044</v>
      </c>
      <c r="C681">
        <v>18</v>
      </c>
    </row>
    <row r="682" spans="1:3" x14ac:dyDescent="0.25">
      <c r="A682" s="17">
        <v>7165581</v>
      </c>
      <c r="B682" s="1">
        <v>46044</v>
      </c>
      <c r="C682">
        <v>37</v>
      </c>
    </row>
    <row r="683" spans="1:3" x14ac:dyDescent="0.25">
      <c r="A683" s="17">
        <v>7747619</v>
      </c>
      <c r="B683" s="1">
        <v>46044</v>
      </c>
      <c r="C683">
        <v>28</v>
      </c>
    </row>
    <row r="684" spans="1:3" x14ac:dyDescent="0.25">
      <c r="A684" s="17">
        <v>7944400</v>
      </c>
      <c r="B684" s="1">
        <v>46044</v>
      </c>
      <c r="C684">
        <v>17</v>
      </c>
    </row>
    <row r="685" spans="1:3" x14ac:dyDescent="0.25">
      <c r="A685" s="17">
        <v>8306905</v>
      </c>
      <c r="B685" s="1">
        <v>46044</v>
      </c>
      <c r="C685">
        <v>28</v>
      </c>
    </row>
    <row r="686" spans="1:3" x14ac:dyDescent="0.25">
      <c r="A686" s="17">
        <v>8405468</v>
      </c>
      <c r="B686" s="1">
        <v>46044</v>
      </c>
      <c r="C686">
        <v>23</v>
      </c>
    </row>
    <row r="687" spans="1:3" x14ac:dyDescent="0.25">
      <c r="A687" s="17">
        <v>8551457</v>
      </c>
      <c r="B687" s="1">
        <v>46044</v>
      </c>
      <c r="C687">
        <v>16</v>
      </c>
    </row>
    <row r="688" spans="1:3" x14ac:dyDescent="0.25">
      <c r="A688" s="17">
        <v>8860153</v>
      </c>
      <c r="B688" s="1">
        <v>46044</v>
      </c>
      <c r="C688">
        <v>4</v>
      </c>
    </row>
    <row r="689" spans="1:3" x14ac:dyDescent="0.25">
      <c r="A689" s="17">
        <v>9044404</v>
      </c>
      <c r="B689" s="1">
        <v>46044</v>
      </c>
      <c r="C689">
        <v>15</v>
      </c>
    </row>
    <row r="690" spans="1:3" x14ac:dyDescent="0.25">
      <c r="A690" s="17">
        <v>9115955</v>
      </c>
      <c r="B690" s="1">
        <v>46044</v>
      </c>
      <c r="C690">
        <v>14</v>
      </c>
    </row>
    <row r="691" spans="1:3" x14ac:dyDescent="0.25">
      <c r="A691" s="17">
        <v>9292315</v>
      </c>
      <c r="B691" s="1">
        <v>46044</v>
      </c>
      <c r="C691">
        <v>26</v>
      </c>
    </row>
    <row r="692" spans="1:3" x14ac:dyDescent="0.25">
      <c r="A692" s="17">
        <v>1088638</v>
      </c>
      <c r="B692" s="1">
        <v>46045</v>
      </c>
      <c r="C692">
        <v>51</v>
      </c>
    </row>
    <row r="693" spans="1:3" x14ac:dyDescent="0.25">
      <c r="A693" s="17">
        <v>1253167</v>
      </c>
      <c r="B693" s="1">
        <v>46045</v>
      </c>
      <c r="C693">
        <v>45</v>
      </c>
    </row>
    <row r="694" spans="1:3" x14ac:dyDescent="0.25">
      <c r="A694" s="17">
        <v>1331817</v>
      </c>
      <c r="B694" s="1">
        <v>46045</v>
      </c>
      <c r="C694">
        <v>12</v>
      </c>
    </row>
    <row r="695" spans="1:3" x14ac:dyDescent="0.25">
      <c r="A695" s="17">
        <v>1711217</v>
      </c>
      <c r="B695" s="1">
        <v>46045</v>
      </c>
      <c r="C695">
        <v>31</v>
      </c>
    </row>
    <row r="696" spans="1:3" x14ac:dyDescent="0.25">
      <c r="A696" s="17">
        <v>2012714</v>
      </c>
      <c r="B696" s="1">
        <v>46045</v>
      </c>
      <c r="C696">
        <v>8</v>
      </c>
    </row>
    <row r="697" spans="1:3" x14ac:dyDescent="0.25">
      <c r="A697" s="17">
        <v>2310329</v>
      </c>
      <c r="B697" s="1">
        <v>46045</v>
      </c>
      <c r="C697">
        <v>17</v>
      </c>
    </row>
    <row r="698" spans="1:3" x14ac:dyDescent="0.25">
      <c r="A698" s="17">
        <v>2424707</v>
      </c>
      <c r="B698" s="1">
        <v>46045</v>
      </c>
      <c r="C698">
        <v>24</v>
      </c>
    </row>
    <row r="699" spans="1:3" x14ac:dyDescent="0.25">
      <c r="A699" s="17">
        <v>2732499</v>
      </c>
      <c r="B699" s="1">
        <v>46045</v>
      </c>
      <c r="C699">
        <v>21</v>
      </c>
    </row>
    <row r="700" spans="1:3" x14ac:dyDescent="0.25">
      <c r="A700" s="17">
        <v>2858379</v>
      </c>
      <c r="B700" s="1">
        <v>46045</v>
      </c>
      <c r="C700">
        <v>9</v>
      </c>
    </row>
    <row r="701" spans="1:3" x14ac:dyDescent="0.25">
      <c r="A701" s="17">
        <v>2982488</v>
      </c>
      <c r="B701" s="1">
        <v>46045</v>
      </c>
      <c r="C701">
        <v>17</v>
      </c>
    </row>
    <row r="702" spans="1:3" x14ac:dyDescent="0.25">
      <c r="A702" s="17">
        <v>3894456</v>
      </c>
      <c r="B702" s="1">
        <v>46045</v>
      </c>
      <c r="C702">
        <v>24</v>
      </c>
    </row>
    <row r="703" spans="1:3" x14ac:dyDescent="0.25">
      <c r="A703" s="17">
        <v>4255235</v>
      </c>
      <c r="B703" s="1">
        <v>46045</v>
      </c>
      <c r="C703">
        <v>32</v>
      </c>
    </row>
    <row r="704" spans="1:3" x14ac:dyDescent="0.25">
      <c r="A704" s="17">
        <v>5619128</v>
      </c>
      <c r="B704" s="1">
        <v>46045</v>
      </c>
      <c r="C704">
        <v>12</v>
      </c>
    </row>
    <row r="705" spans="1:3" x14ac:dyDescent="0.25">
      <c r="A705" s="17">
        <v>5624747</v>
      </c>
      <c r="B705" s="1">
        <v>46045</v>
      </c>
      <c r="C705">
        <v>36</v>
      </c>
    </row>
    <row r="706" spans="1:3" x14ac:dyDescent="0.25">
      <c r="A706" s="17">
        <v>6230104</v>
      </c>
      <c r="B706" s="1">
        <v>46045</v>
      </c>
      <c r="C706">
        <v>23</v>
      </c>
    </row>
    <row r="707" spans="1:3" x14ac:dyDescent="0.25">
      <c r="A707" s="17">
        <v>6334728</v>
      </c>
      <c r="B707" s="1">
        <v>46045</v>
      </c>
      <c r="C707">
        <v>7</v>
      </c>
    </row>
    <row r="708" spans="1:3" x14ac:dyDescent="0.25">
      <c r="A708" s="17">
        <v>6341525</v>
      </c>
      <c r="B708" s="1">
        <v>46045</v>
      </c>
      <c r="C708">
        <v>6</v>
      </c>
    </row>
    <row r="709" spans="1:3" x14ac:dyDescent="0.25">
      <c r="A709" s="17">
        <v>6825224</v>
      </c>
      <c r="B709" s="1">
        <v>46045</v>
      </c>
      <c r="C709">
        <v>32</v>
      </c>
    </row>
    <row r="710" spans="1:3" x14ac:dyDescent="0.25">
      <c r="A710" s="17">
        <v>6828260</v>
      </c>
      <c r="B710" s="1">
        <v>46045</v>
      </c>
      <c r="C710">
        <v>30</v>
      </c>
    </row>
    <row r="711" spans="1:3" x14ac:dyDescent="0.25">
      <c r="A711" s="17">
        <v>7023463</v>
      </c>
      <c r="B711" s="1">
        <v>46045</v>
      </c>
      <c r="C711">
        <v>18</v>
      </c>
    </row>
    <row r="712" spans="1:3" x14ac:dyDescent="0.25">
      <c r="A712" s="17">
        <v>7165581</v>
      </c>
      <c r="B712" s="1">
        <v>46045</v>
      </c>
      <c r="C712">
        <v>33</v>
      </c>
    </row>
    <row r="713" spans="1:3" x14ac:dyDescent="0.25">
      <c r="A713" s="17">
        <v>7747619</v>
      </c>
      <c r="B713" s="1">
        <v>46045</v>
      </c>
      <c r="C713">
        <v>25</v>
      </c>
    </row>
    <row r="714" spans="1:3" x14ac:dyDescent="0.25">
      <c r="A714" s="17">
        <v>7944400</v>
      </c>
      <c r="B714" s="1">
        <v>46045</v>
      </c>
      <c r="C714">
        <v>16</v>
      </c>
    </row>
    <row r="715" spans="1:3" x14ac:dyDescent="0.25">
      <c r="A715" s="17">
        <v>8306905</v>
      </c>
      <c r="B715" s="1">
        <v>46045</v>
      </c>
      <c r="C715">
        <v>27</v>
      </c>
    </row>
    <row r="716" spans="1:3" x14ac:dyDescent="0.25">
      <c r="A716" s="17">
        <v>8405468</v>
      </c>
      <c r="B716" s="1">
        <v>46045</v>
      </c>
      <c r="C716">
        <v>17</v>
      </c>
    </row>
    <row r="717" spans="1:3" x14ac:dyDescent="0.25">
      <c r="A717" s="17">
        <v>8551457</v>
      </c>
      <c r="B717" s="1">
        <v>46045</v>
      </c>
      <c r="C717">
        <v>15</v>
      </c>
    </row>
    <row r="718" spans="1:3" x14ac:dyDescent="0.25">
      <c r="A718" s="17">
        <v>8860153</v>
      </c>
      <c r="B718" s="1">
        <v>46045</v>
      </c>
      <c r="C718">
        <v>3</v>
      </c>
    </row>
    <row r="719" spans="1:3" x14ac:dyDescent="0.25">
      <c r="A719" s="17">
        <v>9044404</v>
      </c>
      <c r="B719" s="1">
        <v>46045</v>
      </c>
      <c r="C719">
        <v>15</v>
      </c>
    </row>
    <row r="720" spans="1:3" x14ac:dyDescent="0.25">
      <c r="A720" s="17">
        <v>9115955</v>
      </c>
      <c r="B720" s="1">
        <v>46045</v>
      </c>
      <c r="C720">
        <v>14</v>
      </c>
    </row>
    <row r="721" spans="1:3" x14ac:dyDescent="0.25">
      <c r="A721" s="17">
        <v>9292315</v>
      </c>
      <c r="B721" s="1">
        <v>46045</v>
      </c>
      <c r="C721">
        <v>24</v>
      </c>
    </row>
    <row r="722" spans="1:3" x14ac:dyDescent="0.25">
      <c r="A722" s="17">
        <v>1088638</v>
      </c>
      <c r="B722" s="1">
        <v>46046</v>
      </c>
      <c r="C722">
        <v>47</v>
      </c>
    </row>
    <row r="723" spans="1:3" x14ac:dyDescent="0.25">
      <c r="A723" s="17">
        <v>1253167</v>
      </c>
      <c r="B723" s="1">
        <v>46046</v>
      </c>
      <c r="C723">
        <v>41</v>
      </c>
    </row>
    <row r="724" spans="1:3" x14ac:dyDescent="0.25">
      <c r="A724" s="17">
        <v>1331817</v>
      </c>
      <c r="B724" s="1">
        <v>46046</v>
      </c>
      <c r="C724">
        <v>12</v>
      </c>
    </row>
    <row r="725" spans="1:3" x14ac:dyDescent="0.25">
      <c r="A725" s="17">
        <v>1711217</v>
      </c>
      <c r="B725" s="1">
        <v>46046</v>
      </c>
      <c r="C725">
        <v>24</v>
      </c>
    </row>
    <row r="726" spans="1:3" x14ac:dyDescent="0.25">
      <c r="A726" s="17">
        <v>2012714</v>
      </c>
      <c r="B726" s="1">
        <v>46046</v>
      </c>
      <c r="C726">
        <v>8</v>
      </c>
    </row>
    <row r="727" spans="1:3" x14ac:dyDescent="0.25">
      <c r="A727" s="17">
        <v>2310329</v>
      </c>
      <c r="B727" s="1">
        <v>46046</v>
      </c>
      <c r="C727">
        <v>17</v>
      </c>
    </row>
    <row r="728" spans="1:3" x14ac:dyDescent="0.25">
      <c r="A728" s="17">
        <v>2424707</v>
      </c>
      <c r="B728" s="1">
        <v>46046</v>
      </c>
      <c r="C728">
        <v>24</v>
      </c>
    </row>
    <row r="729" spans="1:3" x14ac:dyDescent="0.25">
      <c r="A729" s="17">
        <v>2732499</v>
      </c>
      <c r="B729" s="1">
        <v>46046</v>
      </c>
      <c r="C729">
        <v>16</v>
      </c>
    </row>
    <row r="730" spans="1:3" x14ac:dyDescent="0.25">
      <c r="A730" s="17">
        <v>2858379</v>
      </c>
      <c r="B730" s="1">
        <v>46046</v>
      </c>
      <c r="C730">
        <v>8</v>
      </c>
    </row>
    <row r="731" spans="1:3" x14ac:dyDescent="0.25">
      <c r="A731" s="17">
        <v>2982488</v>
      </c>
      <c r="B731" s="1">
        <v>46046</v>
      </c>
      <c r="C731">
        <v>14</v>
      </c>
    </row>
    <row r="732" spans="1:3" x14ac:dyDescent="0.25">
      <c r="A732" s="17">
        <v>3894456</v>
      </c>
      <c r="B732" s="1">
        <v>46046</v>
      </c>
      <c r="C732">
        <v>24</v>
      </c>
    </row>
    <row r="733" spans="1:3" x14ac:dyDescent="0.25">
      <c r="A733" s="17">
        <v>4255235</v>
      </c>
      <c r="B733" s="1">
        <v>46046</v>
      </c>
      <c r="C733">
        <v>32</v>
      </c>
    </row>
    <row r="734" spans="1:3" x14ac:dyDescent="0.25">
      <c r="A734" s="17">
        <v>5619128</v>
      </c>
      <c r="B734" s="1">
        <v>46046</v>
      </c>
      <c r="C734">
        <v>12</v>
      </c>
    </row>
    <row r="735" spans="1:3" x14ac:dyDescent="0.25">
      <c r="A735" s="17">
        <v>5624747</v>
      </c>
      <c r="B735" s="1">
        <v>46046</v>
      </c>
      <c r="C735">
        <v>36</v>
      </c>
    </row>
    <row r="736" spans="1:3" x14ac:dyDescent="0.25">
      <c r="A736" s="17">
        <v>6230104</v>
      </c>
      <c r="B736" s="1">
        <v>46046</v>
      </c>
      <c r="C736">
        <v>23</v>
      </c>
    </row>
    <row r="737" spans="1:3" x14ac:dyDescent="0.25">
      <c r="A737" s="17">
        <v>6334728</v>
      </c>
      <c r="B737" s="1">
        <v>46046</v>
      </c>
      <c r="C737">
        <v>1</v>
      </c>
    </row>
    <row r="738" spans="1:3" x14ac:dyDescent="0.25">
      <c r="A738" s="17">
        <v>6341525</v>
      </c>
      <c r="B738" s="1">
        <v>46046</v>
      </c>
      <c r="C738">
        <v>6</v>
      </c>
    </row>
    <row r="739" spans="1:3" x14ac:dyDescent="0.25">
      <c r="A739" s="17">
        <v>6825224</v>
      </c>
      <c r="B739" s="1">
        <v>46046</v>
      </c>
      <c r="C739">
        <v>32</v>
      </c>
    </row>
    <row r="740" spans="1:3" x14ac:dyDescent="0.25">
      <c r="A740" s="17">
        <v>6828260</v>
      </c>
      <c r="B740" s="1">
        <v>46046</v>
      </c>
      <c r="C740">
        <v>30</v>
      </c>
    </row>
    <row r="741" spans="1:3" x14ac:dyDescent="0.25">
      <c r="A741" s="17">
        <v>7023463</v>
      </c>
      <c r="B741" s="1">
        <v>46046</v>
      </c>
      <c r="C741">
        <v>18</v>
      </c>
    </row>
    <row r="742" spans="1:3" x14ac:dyDescent="0.25">
      <c r="A742" s="17">
        <v>7165581</v>
      </c>
      <c r="B742" s="1">
        <v>46046</v>
      </c>
      <c r="C742">
        <v>33</v>
      </c>
    </row>
    <row r="743" spans="1:3" x14ac:dyDescent="0.25">
      <c r="A743" s="17">
        <v>7747619</v>
      </c>
      <c r="B743" s="1">
        <v>46046</v>
      </c>
      <c r="C743">
        <v>25</v>
      </c>
    </row>
    <row r="744" spans="1:3" x14ac:dyDescent="0.25">
      <c r="A744" s="17">
        <v>7944400</v>
      </c>
      <c r="B744" s="1">
        <v>46046</v>
      </c>
      <c r="C744">
        <v>16</v>
      </c>
    </row>
    <row r="745" spans="1:3" x14ac:dyDescent="0.25">
      <c r="A745" s="17">
        <v>8306905</v>
      </c>
      <c r="B745" s="1">
        <v>46046</v>
      </c>
      <c r="C745">
        <v>27</v>
      </c>
    </row>
    <row r="746" spans="1:3" x14ac:dyDescent="0.25">
      <c r="A746" s="17">
        <v>8405468</v>
      </c>
      <c r="B746" s="1">
        <v>46046</v>
      </c>
      <c r="C746">
        <v>11</v>
      </c>
    </row>
    <row r="747" spans="1:3" x14ac:dyDescent="0.25">
      <c r="A747" s="17">
        <v>8551457</v>
      </c>
      <c r="B747" s="1">
        <v>46046</v>
      </c>
      <c r="C747">
        <v>15</v>
      </c>
    </row>
    <row r="748" spans="1:3" x14ac:dyDescent="0.25">
      <c r="A748" s="17">
        <v>8860153</v>
      </c>
      <c r="B748" s="1">
        <v>46046</v>
      </c>
      <c r="C748">
        <v>3</v>
      </c>
    </row>
    <row r="749" spans="1:3" x14ac:dyDescent="0.25">
      <c r="A749" s="17">
        <v>9044404</v>
      </c>
      <c r="B749" s="1">
        <v>46046</v>
      </c>
      <c r="C749">
        <v>15</v>
      </c>
    </row>
    <row r="750" spans="1:3" x14ac:dyDescent="0.25">
      <c r="A750" s="17">
        <v>9115955</v>
      </c>
      <c r="B750" s="1">
        <v>46046</v>
      </c>
      <c r="C750">
        <v>14</v>
      </c>
    </row>
    <row r="751" spans="1:3" x14ac:dyDescent="0.25">
      <c r="A751" s="17">
        <v>9292315</v>
      </c>
      <c r="B751" s="1">
        <v>46046</v>
      </c>
      <c r="C751">
        <v>23</v>
      </c>
    </row>
    <row r="752" spans="1:3" x14ac:dyDescent="0.25">
      <c r="A752" s="17">
        <v>1088638</v>
      </c>
      <c r="B752" s="1">
        <v>46047</v>
      </c>
      <c r="C752">
        <v>43</v>
      </c>
    </row>
    <row r="753" spans="1:3" x14ac:dyDescent="0.25">
      <c r="A753" s="17">
        <v>1253167</v>
      </c>
      <c r="B753" s="1">
        <v>46047</v>
      </c>
      <c r="C753">
        <v>39</v>
      </c>
    </row>
    <row r="754" spans="1:3" x14ac:dyDescent="0.25">
      <c r="A754" s="17">
        <v>1331817</v>
      </c>
      <c r="B754" s="1">
        <v>46047</v>
      </c>
      <c r="C754">
        <v>12</v>
      </c>
    </row>
    <row r="755" spans="1:3" x14ac:dyDescent="0.25">
      <c r="A755" s="17">
        <v>1711217</v>
      </c>
      <c r="B755" s="1">
        <v>46047</v>
      </c>
      <c r="C755">
        <v>23</v>
      </c>
    </row>
    <row r="756" spans="1:3" x14ac:dyDescent="0.25">
      <c r="A756" s="17">
        <v>2012714</v>
      </c>
      <c r="B756" s="1">
        <v>46047</v>
      </c>
      <c r="C756">
        <v>8</v>
      </c>
    </row>
    <row r="757" spans="1:3" x14ac:dyDescent="0.25">
      <c r="A757" s="17">
        <v>2310329</v>
      </c>
      <c r="B757" s="1">
        <v>46047</v>
      </c>
      <c r="C757">
        <v>17</v>
      </c>
    </row>
    <row r="758" spans="1:3" x14ac:dyDescent="0.25">
      <c r="A758" s="17">
        <v>2424707</v>
      </c>
      <c r="B758" s="1">
        <v>46047</v>
      </c>
      <c r="C758">
        <v>23</v>
      </c>
    </row>
    <row r="759" spans="1:3" x14ac:dyDescent="0.25">
      <c r="A759" s="17">
        <v>2732499</v>
      </c>
      <c r="B759" s="1">
        <v>46047</v>
      </c>
      <c r="C759">
        <v>12</v>
      </c>
    </row>
    <row r="760" spans="1:3" x14ac:dyDescent="0.25">
      <c r="A760" s="17">
        <v>2858379</v>
      </c>
      <c r="B760" s="1">
        <v>46047</v>
      </c>
      <c r="C760">
        <v>8</v>
      </c>
    </row>
    <row r="761" spans="1:3" x14ac:dyDescent="0.25">
      <c r="A761" s="17">
        <v>2982488</v>
      </c>
      <c r="B761" s="1">
        <v>46047</v>
      </c>
      <c r="C761">
        <v>14</v>
      </c>
    </row>
    <row r="762" spans="1:3" x14ac:dyDescent="0.25">
      <c r="A762" s="17">
        <v>3894456</v>
      </c>
      <c r="B762" s="1">
        <v>46047</v>
      </c>
      <c r="C762">
        <v>24</v>
      </c>
    </row>
    <row r="763" spans="1:3" x14ac:dyDescent="0.25">
      <c r="A763" s="17">
        <v>4255235</v>
      </c>
      <c r="B763" s="1">
        <v>46047</v>
      </c>
      <c r="C763">
        <v>32</v>
      </c>
    </row>
    <row r="764" spans="1:3" x14ac:dyDescent="0.25">
      <c r="A764" s="17">
        <v>5619128</v>
      </c>
      <c r="B764" s="1">
        <v>46047</v>
      </c>
      <c r="C764">
        <v>12</v>
      </c>
    </row>
    <row r="765" spans="1:3" x14ac:dyDescent="0.25">
      <c r="A765" s="17">
        <v>5624747</v>
      </c>
      <c r="B765" s="1">
        <v>46047</v>
      </c>
      <c r="C765">
        <v>36</v>
      </c>
    </row>
    <row r="766" spans="1:3" x14ac:dyDescent="0.25">
      <c r="A766" s="17">
        <v>6230104</v>
      </c>
      <c r="B766" s="1">
        <v>46047</v>
      </c>
      <c r="C766">
        <v>23</v>
      </c>
    </row>
    <row r="767" spans="1:3" x14ac:dyDescent="0.25">
      <c r="A767" s="17">
        <v>6334728</v>
      </c>
      <c r="B767" s="1">
        <v>46047</v>
      </c>
      <c r="C767">
        <v>1</v>
      </c>
    </row>
    <row r="768" spans="1:3" x14ac:dyDescent="0.25">
      <c r="A768" s="17">
        <v>6341525</v>
      </c>
      <c r="B768" s="1">
        <v>46047</v>
      </c>
      <c r="C768">
        <v>6</v>
      </c>
    </row>
    <row r="769" spans="1:3" x14ac:dyDescent="0.25">
      <c r="A769" s="17">
        <v>6825224</v>
      </c>
      <c r="B769" s="1">
        <v>46047</v>
      </c>
      <c r="C769">
        <v>32</v>
      </c>
    </row>
    <row r="770" spans="1:3" x14ac:dyDescent="0.25">
      <c r="A770" s="17">
        <v>6828260</v>
      </c>
      <c r="B770" s="1">
        <v>46047</v>
      </c>
      <c r="C770">
        <v>30</v>
      </c>
    </row>
    <row r="771" spans="1:3" x14ac:dyDescent="0.25">
      <c r="A771" s="17">
        <v>7023463</v>
      </c>
      <c r="B771" s="1">
        <v>46047</v>
      </c>
      <c r="C771">
        <v>18</v>
      </c>
    </row>
    <row r="772" spans="1:3" x14ac:dyDescent="0.25">
      <c r="A772" s="17">
        <v>7165581</v>
      </c>
      <c r="B772" s="1">
        <v>46047</v>
      </c>
      <c r="C772">
        <v>33</v>
      </c>
    </row>
    <row r="773" spans="1:3" x14ac:dyDescent="0.25">
      <c r="A773" s="17">
        <v>7747619</v>
      </c>
      <c r="B773" s="1">
        <v>46047</v>
      </c>
      <c r="C773">
        <v>25</v>
      </c>
    </row>
    <row r="774" spans="1:3" x14ac:dyDescent="0.25">
      <c r="A774" s="17">
        <v>7944400</v>
      </c>
      <c r="B774" s="1">
        <v>46047</v>
      </c>
      <c r="C774">
        <v>16</v>
      </c>
    </row>
    <row r="775" spans="1:3" x14ac:dyDescent="0.25">
      <c r="A775" s="17">
        <v>8306905</v>
      </c>
      <c r="B775" s="1">
        <v>46047</v>
      </c>
      <c r="C775">
        <v>27</v>
      </c>
    </row>
    <row r="776" spans="1:3" x14ac:dyDescent="0.25">
      <c r="A776" s="17">
        <v>8405468</v>
      </c>
      <c r="B776" s="1">
        <v>46047</v>
      </c>
      <c r="C776">
        <v>11</v>
      </c>
    </row>
    <row r="777" spans="1:3" x14ac:dyDescent="0.25">
      <c r="A777" s="17">
        <v>8551457</v>
      </c>
      <c r="B777" s="1">
        <v>46047</v>
      </c>
      <c r="C777">
        <v>15</v>
      </c>
    </row>
    <row r="778" spans="1:3" x14ac:dyDescent="0.25">
      <c r="A778" s="17">
        <v>8860153</v>
      </c>
      <c r="B778" s="1">
        <v>46047</v>
      </c>
      <c r="C778">
        <v>3</v>
      </c>
    </row>
    <row r="779" spans="1:3" x14ac:dyDescent="0.25">
      <c r="A779" s="17">
        <v>9044404</v>
      </c>
      <c r="B779" s="1">
        <v>46047</v>
      </c>
      <c r="C779">
        <v>14</v>
      </c>
    </row>
    <row r="780" spans="1:3" x14ac:dyDescent="0.25">
      <c r="A780" s="17">
        <v>9115955</v>
      </c>
      <c r="B780" s="1">
        <v>46047</v>
      </c>
      <c r="C780">
        <v>14</v>
      </c>
    </row>
    <row r="781" spans="1:3" x14ac:dyDescent="0.25">
      <c r="A781" s="17">
        <v>9292315</v>
      </c>
      <c r="B781" s="1">
        <v>46047</v>
      </c>
      <c r="C781">
        <v>21</v>
      </c>
    </row>
    <row r="782" spans="1:3" x14ac:dyDescent="0.25">
      <c r="A782" s="17">
        <v>1088638</v>
      </c>
      <c r="B782" s="1">
        <v>46048</v>
      </c>
      <c r="C782">
        <v>41</v>
      </c>
    </row>
    <row r="783" spans="1:3" x14ac:dyDescent="0.25">
      <c r="A783" s="17">
        <v>1253167</v>
      </c>
      <c r="B783" s="1">
        <v>46048</v>
      </c>
      <c r="C783">
        <v>39</v>
      </c>
    </row>
    <row r="784" spans="1:3" x14ac:dyDescent="0.25">
      <c r="A784" s="17">
        <v>1331817</v>
      </c>
      <c r="B784" s="1">
        <v>46048</v>
      </c>
      <c r="C784">
        <v>12</v>
      </c>
    </row>
    <row r="785" spans="1:3" x14ac:dyDescent="0.25">
      <c r="A785" s="17">
        <v>1711217</v>
      </c>
      <c r="B785" s="1">
        <v>46048</v>
      </c>
      <c r="C785">
        <v>22</v>
      </c>
    </row>
    <row r="786" spans="1:3" x14ac:dyDescent="0.25">
      <c r="A786" s="17">
        <v>2012714</v>
      </c>
      <c r="B786" s="1">
        <v>46048</v>
      </c>
      <c r="C786">
        <v>8</v>
      </c>
    </row>
    <row r="787" spans="1:3" x14ac:dyDescent="0.25">
      <c r="A787" s="17">
        <v>2310329</v>
      </c>
      <c r="B787" s="1">
        <v>46048</v>
      </c>
      <c r="C787">
        <v>17</v>
      </c>
    </row>
    <row r="788" spans="1:3" x14ac:dyDescent="0.25">
      <c r="A788" s="17">
        <v>2424707</v>
      </c>
      <c r="B788" s="1">
        <v>46048</v>
      </c>
      <c r="C788">
        <v>23</v>
      </c>
    </row>
    <row r="789" spans="1:3" x14ac:dyDescent="0.25">
      <c r="A789" s="17">
        <v>2732499</v>
      </c>
      <c r="B789" s="1">
        <v>46048</v>
      </c>
      <c r="C789">
        <v>12</v>
      </c>
    </row>
    <row r="790" spans="1:3" x14ac:dyDescent="0.25">
      <c r="A790" s="17">
        <v>2858379</v>
      </c>
      <c r="B790" s="1">
        <v>46048</v>
      </c>
      <c r="C790">
        <v>8</v>
      </c>
    </row>
    <row r="791" spans="1:3" x14ac:dyDescent="0.25">
      <c r="A791" s="17">
        <v>2982488</v>
      </c>
      <c r="B791" s="1">
        <v>46048</v>
      </c>
      <c r="C791">
        <v>14</v>
      </c>
    </row>
    <row r="792" spans="1:3" x14ac:dyDescent="0.25">
      <c r="A792" s="17">
        <v>3894456</v>
      </c>
      <c r="B792" s="1">
        <v>46048</v>
      </c>
      <c r="C792">
        <v>24</v>
      </c>
    </row>
    <row r="793" spans="1:3" x14ac:dyDescent="0.25">
      <c r="A793" s="17">
        <v>4255235</v>
      </c>
      <c r="B793" s="1">
        <v>46048</v>
      </c>
      <c r="C793">
        <v>30</v>
      </c>
    </row>
    <row r="794" spans="1:3" x14ac:dyDescent="0.25">
      <c r="A794" s="17">
        <v>5619128</v>
      </c>
      <c r="B794" s="1">
        <v>46048</v>
      </c>
      <c r="C794">
        <v>12</v>
      </c>
    </row>
    <row r="795" spans="1:3" x14ac:dyDescent="0.25">
      <c r="A795" s="17">
        <v>5624747</v>
      </c>
      <c r="B795" s="1">
        <v>46048</v>
      </c>
      <c r="C795">
        <v>36</v>
      </c>
    </row>
    <row r="796" spans="1:3" x14ac:dyDescent="0.25">
      <c r="A796" s="17">
        <v>6230104</v>
      </c>
      <c r="B796" s="1">
        <v>46048</v>
      </c>
      <c r="C796">
        <v>23</v>
      </c>
    </row>
    <row r="797" spans="1:3" x14ac:dyDescent="0.25">
      <c r="A797" s="17">
        <v>6334728</v>
      </c>
      <c r="B797" s="1">
        <v>46048</v>
      </c>
      <c r="C797">
        <v>1</v>
      </c>
    </row>
    <row r="798" spans="1:3" x14ac:dyDescent="0.25">
      <c r="A798" s="17">
        <v>6341525</v>
      </c>
      <c r="B798" s="1">
        <v>46048</v>
      </c>
      <c r="C798">
        <v>6</v>
      </c>
    </row>
    <row r="799" spans="1:3" x14ac:dyDescent="0.25">
      <c r="A799" s="17">
        <v>6825224</v>
      </c>
      <c r="B799" s="1">
        <v>46048</v>
      </c>
      <c r="C799">
        <v>31</v>
      </c>
    </row>
    <row r="800" spans="1:3" x14ac:dyDescent="0.25">
      <c r="A800" s="17">
        <v>6828260</v>
      </c>
      <c r="B800" s="1">
        <v>46048</v>
      </c>
      <c r="C800">
        <v>30</v>
      </c>
    </row>
    <row r="801" spans="1:3" x14ac:dyDescent="0.25">
      <c r="A801" s="17">
        <v>7023463</v>
      </c>
      <c r="B801" s="1">
        <v>46048</v>
      </c>
      <c r="C801">
        <v>18</v>
      </c>
    </row>
    <row r="802" spans="1:3" x14ac:dyDescent="0.25">
      <c r="A802" s="17">
        <v>7165581</v>
      </c>
      <c r="B802" s="1">
        <v>46048</v>
      </c>
      <c r="C802">
        <v>33</v>
      </c>
    </row>
    <row r="803" spans="1:3" x14ac:dyDescent="0.25">
      <c r="A803" s="17">
        <v>7747619</v>
      </c>
      <c r="B803" s="1">
        <v>46048</v>
      </c>
      <c r="C803">
        <v>25</v>
      </c>
    </row>
    <row r="804" spans="1:3" x14ac:dyDescent="0.25">
      <c r="A804" s="17">
        <v>7944400</v>
      </c>
      <c r="B804" s="1">
        <v>46048</v>
      </c>
      <c r="C804">
        <v>16</v>
      </c>
    </row>
    <row r="805" spans="1:3" x14ac:dyDescent="0.25">
      <c r="A805" s="17">
        <v>8306905</v>
      </c>
      <c r="B805" s="1">
        <v>46048</v>
      </c>
      <c r="C805">
        <v>27</v>
      </c>
    </row>
    <row r="806" spans="1:3" x14ac:dyDescent="0.25">
      <c r="A806" s="17">
        <v>8405468</v>
      </c>
      <c r="B806" s="1">
        <v>46048</v>
      </c>
      <c r="C806">
        <v>9</v>
      </c>
    </row>
    <row r="807" spans="1:3" x14ac:dyDescent="0.25">
      <c r="A807" s="17">
        <v>8551457</v>
      </c>
      <c r="B807" s="1">
        <v>46048</v>
      </c>
      <c r="C807">
        <v>15</v>
      </c>
    </row>
    <row r="808" spans="1:3" x14ac:dyDescent="0.25">
      <c r="A808" s="17">
        <v>8860153</v>
      </c>
      <c r="B808" s="1">
        <v>46048</v>
      </c>
      <c r="C808">
        <v>3</v>
      </c>
    </row>
    <row r="809" spans="1:3" x14ac:dyDescent="0.25">
      <c r="A809" s="17">
        <v>9044404</v>
      </c>
      <c r="B809" s="1">
        <v>46048</v>
      </c>
      <c r="C809">
        <v>14</v>
      </c>
    </row>
    <row r="810" spans="1:3" x14ac:dyDescent="0.25">
      <c r="A810" s="17">
        <v>9115955</v>
      </c>
      <c r="B810" s="1">
        <v>46048</v>
      </c>
      <c r="C810">
        <v>14</v>
      </c>
    </row>
    <row r="811" spans="1:3" x14ac:dyDescent="0.25">
      <c r="A811" s="17">
        <v>9292315</v>
      </c>
      <c r="B811" s="1">
        <v>46048</v>
      </c>
      <c r="C811">
        <v>20</v>
      </c>
    </row>
    <row r="812" spans="1:3" x14ac:dyDescent="0.25">
      <c r="A812" s="17">
        <v>1088638</v>
      </c>
      <c r="B812" s="1">
        <v>46049</v>
      </c>
      <c r="C812">
        <v>40</v>
      </c>
    </row>
    <row r="813" spans="1:3" x14ac:dyDescent="0.25">
      <c r="A813" s="17">
        <v>1253167</v>
      </c>
      <c r="B813" s="1">
        <v>46049</v>
      </c>
      <c r="C813">
        <v>39</v>
      </c>
    </row>
    <row r="814" spans="1:3" x14ac:dyDescent="0.25">
      <c r="A814" s="17">
        <v>1331817</v>
      </c>
      <c r="B814" s="1">
        <v>46049</v>
      </c>
      <c r="C814">
        <v>12</v>
      </c>
    </row>
    <row r="815" spans="1:3" x14ac:dyDescent="0.25">
      <c r="A815" s="17">
        <v>1711217</v>
      </c>
      <c r="B815" s="1">
        <v>46049</v>
      </c>
      <c r="C815">
        <v>20</v>
      </c>
    </row>
    <row r="816" spans="1:3" x14ac:dyDescent="0.25">
      <c r="A816" s="17">
        <v>2012714</v>
      </c>
      <c r="B816" s="1">
        <v>46049</v>
      </c>
      <c r="C816">
        <v>8</v>
      </c>
    </row>
    <row r="817" spans="1:3" x14ac:dyDescent="0.25">
      <c r="A817" s="17">
        <v>2310329</v>
      </c>
      <c r="B817" s="1">
        <v>46049</v>
      </c>
      <c r="C817">
        <v>17</v>
      </c>
    </row>
    <row r="818" spans="1:3" x14ac:dyDescent="0.25">
      <c r="A818" s="17">
        <v>2424707</v>
      </c>
      <c r="B818" s="1">
        <v>46049</v>
      </c>
      <c r="C818">
        <v>22</v>
      </c>
    </row>
    <row r="819" spans="1:3" x14ac:dyDescent="0.25">
      <c r="A819" s="17">
        <v>2732499</v>
      </c>
      <c r="B819" s="1">
        <v>46049</v>
      </c>
      <c r="C819">
        <v>11</v>
      </c>
    </row>
    <row r="820" spans="1:3" x14ac:dyDescent="0.25">
      <c r="A820" s="17">
        <v>2858379</v>
      </c>
      <c r="B820" s="1">
        <v>46049</v>
      </c>
      <c r="C820">
        <v>8</v>
      </c>
    </row>
    <row r="821" spans="1:3" x14ac:dyDescent="0.25">
      <c r="A821" s="17">
        <v>2982488</v>
      </c>
      <c r="B821" s="1">
        <v>46049</v>
      </c>
      <c r="C821">
        <v>14</v>
      </c>
    </row>
    <row r="822" spans="1:3" x14ac:dyDescent="0.25">
      <c r="A822" s="17">
        <v>3894456</v>
      </c>
      <c r="B822" s="1">
        <v>46049</v>
      </c>
      <c r="C822">
        <v>24</v>
      </c>
    </row>
    <row r="823" spans="1:3" x14ac:dyDescent="0.25">
      <c r="A823" s="17">
        <v>4255235</v>
      </c>
      <c r="B823" s="1">
        <v>46049</v>
      </c>
      <c r="C823">
        <v>30</v>
      </c>
    </row>
    <row r="824" spans="1:3" x14ac:dyDescent="0.25">
      <c r="A824" s="17">
        <v>5619128</v>
      </c>
      <c r="B824" s="1">
        <v>46049</v>
      </c>
      <c r="C824">
        <v>12</v>
      </c>
    </row>
    <row r="825" spans="1:3" x14ac:dyDescent="0.25">
      <c r="A825" s="17">
        <v>5624747</v>
      </c>
      <c r="B825" s="1">
        <v>46049</v>
      </c>
      <c r="C825">
        <v>36</v>
      </c>
    </row>
    <row r="826" spans="1:3" x14ac:dyDescent="0.25">
      <c r="A826" s="17">
        <v>6230104</v>
      </c>
      <c r="B826" s="1">
        <v>46049</v>
      </c>
      <c r="C826">
        <v>23</v>
      </c>
    </row>
    <row r="827" spans="1:3" x14ac:dyDescent="0.25">
      <c r="A827" s="17">
        <v>6334728</v>
      </c>
      <c r="B827" s="1">
        <v>46049</v>
      </c>
      <c r="C827">
        <v>1</v>
      </c>
    </row>
    <row r="828" spans="1:3" x14ac:dyDescent="0.25">
      <c r="A828" s="17">
        <v>6341525</v>
      </c>
      <c r="B828" s="1">
        <v>46049</v>
      </c>
      <c r="C828">
        <v>6</v>
      </c>
    </row>
    <row r="829" spans="1:3" x14ac:dyDescent="0.25">
      <c r="A829" s="17">
        <v>6825224</v>
      </c>
      <c r="B829" s="1">
        <v>46049</v>
      </c>
      <c r="C829">
        <v>31</v>
      </c>
    </row>
    <row r="830" spans="1:3" x14ac:dyDescent="0.25">
      <c r="A830" s="17">
        <v>6828260</v>
      </c>
      <c r="B830" s="1">
        <v>46049</v>
      </c>
      <c r="C830">
        <v>29</v>
      </c>
    </row>
    <row r="831" spans="1:3" x14ac:dyDescent="0.25">
      <c r="A831" s="17">
        <v>7023463</v>
      </c>
      <c r="B831" s="1">
        <v>46049</v>
      </c>
      <c r="C831">
        <v>18</v>
      </c>
    </row>
    <row r="832" spans="1:3" x14ac:dyDescent="0.25">
      <c r="A832" s="17">
        <v>7165581</v>
      </c>
      <c r="B832" s="1">
        <v>46049</v>
      </c>
      <c r="C832">
        <v>33</v>
      </c>
    </row>
    <row r="833" spans="1:3" x14ac:dyDescent="0.25">
      <c r="A833" s="17">
        <v>7747619</v>
      </c>
      <c r="B833" s="1">
        <v>46049</v>
      </c>
      <c r="C833">
        <v>24</v>
      </c>
    </row>
    <row r="834" spans="1:3" x14ac:dyDescent="0.25">
      <c r="A834" s="17">
        <v>7944400</v>
      </c>
      <c r="B834" s="1">
        <v>46049</v>
      </c>
      <c r="C834">
        <v>16</v>
      </c>
    </row>
    <row r="835" spans="1:3" x14ac:dyDescent="0.25">
      <c r="A835" s="17">
        <v>8306905</v>
      </c>
      <c r="B835" s="1">
        <v>46049</v>
      </c>
      <c r="C835">
        <v>26</v>
      </c>
    </row>
    <row r="836" spans="1:3" x14ac:dyDescent="0.25">
      <c r="A836" s="17">
        <v>8405468</v>
      </c>
      <c r="B836" s="1">
        <v>46049</v>
      </c>
      <c r="C836">
        <v>8</v>
      </c>
    </row>
    <row r="837" spans="1:3" x14ac:dyDescent="0.25">
      <c r="A837" s="17">
        <v>8551457</v>
      </c>
      <c r="B837" s="1">
        <v>46049</v>
      </c>
      <c r="C837">
        <v>15</v>
      </c>
    </row>
    <row r="838" spans="1:3" x14ac:dyDescent="0.25">
      <c r="A838" s="17">
        <v>8860153</v>
      </c>
      <c r="B838" s="1">
        <v>46049</v>
      </c>
      <c r="C838">
        <v>3</v>
      </c>
    </row>
    <row r="839" spans="1:3" x14ac:dyDescent="0.25">
      <c r="A839" s="17">
        <v>9044404</v>
      </c>
      <c r="B839" s="1">
        <v>46049</v>
      </c>
      <c r="C839">
        <v>14</v>
      </c>
    </row>
    <row r="840" spans="1:3" x14ac:dyDescent="0.25">
      <c r="A840" s="17">
        <v>9115955</v>
      </c>
      <c r="B840" s="1">
        <v>46049</v>
      </c>
      <c r="C840">
        <v>13</v>
      </c>
    </row>
    <row r="841" spans="1:3" x14ac:dyDescent="0.25">
      <c r="A841" s="17">
        <v>9292315</v>
      </c>
      <c r="B841" s="1">
        <v>46049</v>
      </c>
      <c r="C841">
        <v>12</v>
      </c>
    </row>
    <row r="842" spans="1:3" x14ac:dyDescent="0.25">
      <c r="A842" s="17">
        <v>1088638</v>
      </c>
      <c r="B842" s="1">
        <v>46050</v>
      </c>
      <c r="C842">
        <v>40</v>
      </c>
    </row>
    <row r="843" spans="1:3" x14ac:dyDescent="0.25">
      <c r="A843" s="17">
        <v>1253167</v>
      </c>
      <c r="B843" s="1">
        <v>46050</v>
      </c>
      <c r="C843">
        <v>39</v>
      </c>
    </row>
    <row r="844" spans="1:3" x14ac:dyDescent="0.25">
      <c r="A844" s="17">
        <v>1331817</v>
      </c>
      <c r="B844" s="1">
        <v>46050</v>
      </c>
      <c r="C844">
        <v>12</v>
      </c>
    </row>
    <row r="845" spans="1:3" x14ac:dyDescent="0.25">
      <c r="A845" s="17">
        <v>1711217</v>
      </c>
      <c r="B845" s="1">
        <v>46050</v>
      </c>
      <c r="C845">
        <v>20</v>
      </c>
    </row>
    <row r="846" spans="1:3" x14ac:dyDescent="0.25">
      <c r="A846" s="17">
        <v>2012714</v>
      </c>
      <c r="B846" s="1">
        <v>46050</v>
      </c>
      <c r="C846">
        <v>8</v>
      </c>
    </row>
    <row r="847" spans="1:3" x14ac:dyDescent="0.25">
      <c r="A847" s="17">
        <v>2310329</v>
      </c>
      <c r="B847" s="1">
        <v>46050</v>
      </c>
      <c r="C847">
        <v>17</v>
      </c>
    </row>
    <row r="848" spans="1:3" x14ac:dyDescent="0.25">
      <c r="A848" s="17">
        <v>2424707</v>
      </c>
      <c r="B848" s="1">
        <v>46050</v>
      </c>
      <c r="C848">
        <v>22</v>
      </c>
    </row>
    <row r="849" spans="1:3" x14ac:dyDescent="0.25">
      <c r="A849" s="17">
        <v>2732499</v>
      </c>
      <c r="B849" s="1">
        <v>46050</v>
      </c>
      <c r="C849">
        <v>10</v>
      </c>
    </row>
    <row r="850" spans="1:3" x14ac:dyDescent="0.25">
      <c r="A850" s="17">
        <v>2858379</v>
      </c>
      <c r="B850" s="1">
        <v>46050</v>
      </c>
      <c r="C850">
        <v>8</v>
      </c>
    </row>
    <row r="851" spans="1:3" x14ac:dyDescent="0.25">
      <c r="A851" s="17">
        <v>2982488</v>
      </c>
      <c r="B851" s="1">
        <v>46050</v>
      </c>
      <c r="C851">
        <v>14</v>
      </c>
    </row>
    <row r="852" spans="1:3" x14ac:dyDescent="0.25">
      <c r="A852" s="17">
        <v>3894456</v>
      </c>
      <c r="B852" s="1">
        <v>46050</v>
      </c>
      <c r="C852">
        <v>24</v>
      </c>
    </row>
    <row r="853" spans="1:3" x14ac:dyDescent="0.25">
      <c r="A853" s="17">
        <v>4255235</v>
      </c>
      <c r="B853" s="1">
        <v>46050</v>
      </c>
      <c r="C853">
        <v>30</v>
      </c>
    </row>
    <row r="854" spans="1:3" x14ac:dyDescent="0.25">
      <c r="A854" s="17">
        <v>5619128</v>
      </c>
      <c r="B854" s="1">
        <v>46050</v>
      </c>
      <c r="C854">
        <v>12</v>
      </c>
    </row>
    <row r="855" spans="1:3" x14ac:dyDescent="0.25">
      <c r="A855" s="17">
        <v>5624747</v>
      </c>
      <c r="B855" s="1">
        <v>46050</v>
      </c>
      <c r="C855">
        <v>36</v>
      </c>
    </row>
    <row r="856" spans="1:3" x14ac:dyDescent="0.25">
      <c r="A856" s="17">
        <v>6230104</v>
      </c>
      <c r="B856" s="1">
        <v>46050</v>
      </c>
      <c r="C856">
        <v>23</v>
      </c>
    </row>
    <row r="857" spans="1:3" x14ac:dyDescent="0.25">
      <c r="A857" s="17">
        <v>6334728</v>
      </c>
      <c r="B857" s="1">
        <v>46050</v>
      </c>
      <c r="C857">
        <v>1</v>
      </c>
    </row>
    <row r="858" spans="1:3" x14ac:dyDescent="0.25">
      <c r="A858" s="17">
        <v>6341525</v>
      </c>
      <c r="B858" s="1">
        <v>46050</v>
      </c>
      <c r="C858">
        <v>6</v>
      </c>
    </row>
    <row r="859" spans="1:3" x14ac:dyDescent="0.25">
      <c r="A859" s="17">
        <v>6825224</v>
      </c>
      <c r="B859" s="1">
        <v>46050</v>
      </c>
      <c r="C859">
        <v>31</v>
      </c>
    </row>
    <row r="860" spans="1:3" x14ac:dyDescent="0.25">
      <c r="A860" s="17">
        <v>6828260</v>
      </c>
      <c r="B860" s="1">
        <v>46050</v>
      </c>
      <c r="C860">
        <v>29</v>
      </c>
    </row>
    <row r="861" spans="1:3" x14ac:dyDescent="0.25">
      <c r="A861" s="17">
        <v>7023463</v>
      </c>
      <c r="B861" s="1">
        <v>46050</v>
      </c>
      <c r="C861">
        <v>18</v>
      </c>
    </row>
    <row r="862" spans="1:3" x14ac:dyDescent="0.25">
      <c r="A862" s="17">
        <v>7165581</v>
      </c>
      <c r="B862" s="1">
        <v>46050</v>
      </c>
      <c r="C862">
        <v>33</v>
      </c>
    </row>
    <row r="863" spans="1:3" x14ac:dyDescent="0.25">
      <c r="A863" s="17">
        <v>7747619</v>
      </c>
      <c r="B863" s="1">
        <v>46050</v>
      </c>
      <c r="C863">
        <v>24</v>
      </c>
    </row>
    <row r="864" spans="1:3" x14ac:dyDescent="0.25">
      <c r="A864" s="17">
        <v>7944400</v>
      </c>
      <c r="B864" s="1">
        <v>46050</v>
      </c>
      <c r="C864">
        <v>16</v>
      </c>
    </row>
    <row r="865" spans="1:3" x14ac:dyDescent="0.25">
      <c r="A865" s="17">
        <v>8306905</v>
      </c>
      <c r="B865" s="1">
        <v>46050</v>
      </c>
      <c r="C865">
        <v>25</v>
      </c>
    </row>
    <row r="866" spans="1:3" x14ac:dyDescent="0.25">
      <c r="A866" s="17">
        <v>8405468</v>
      </c>
      <c r="B866" s="1">
        <v>46050</v>
      </c>
      <c r="C866">
        <v>2</v>
      </c>
    </row>
    <row r="867" spans="1:3" x14ac:dyDescent="0.25">
      <c r="A867" s="17">
        <v>8551457</v>
      </c>
      <c r="B867" s="1">
        <v>46050</v>
      </c>
      <c r="C867">
        <v>12</v>
      </c>
    </row>
    <row r="868" spans="1:3" x14ac:dyDescent="0.25">
      <c r="A868" s="17">
        <v>8860153</v>
      </c>
      <c r="B868" s="1">
        <v>46050</v>
      </c>
      <c r="C868">
        <v>3</v>
      </c>
    </row>
    <row r="869" spans="1:3" x14ac:dyDescent="0.25">
      <c r="A869" s="17">
        <v>9044404</v>
      </c>
      <c r="B869" s="1">
        <v>46050</v>
      </c>
      <c r="C869">
        <v>14</v>
      </c>
    </row>
    <row r="870" spans="1:3" x14ac:dyDescent="0.25">
      <c r="A870" s="17">
        <v>9115955</v>
      </c>
      <c r="B870" s="1">
        <v>46050</v>
      </c>
      <c r="C870">
        <v>13</v>
      </c>
    </row>
    <row r="871" spans="1:3" x14ac:dyDescent="0.25">
      <c r="A871" s="17">
        <v>9292315</v>
      </c>
      <c r="B871" s="1">
        <v>46050</v>
      </c>
      <c r="C871">
        <v>9</v>
      </c>
    </row>
    <row r="872" spans="1:3" x14ac:dyDescent="0.25">
      <c r="A872" s="17">
        <v>1088638</v>
      </c>
      <c r="B872" s="1">
        <v>46051</v>
      </c>
      <c r="C872">
        <v>39</v>
      </c>
    </row>
    <row r="873" spans="1:3" x14ac:dyDescent="0.25">
      <c r="A873" s="17">
        <v>1253167</v>
      </c>
      <c r="B873" s="1">
        <v>46051</v>
      </c>
      <c r="C873">
        <v>38</v>
      </c>
    </row>
    <row r="874" spans="1:3" x14ac:dyDescent="0.25">
      <c r="A874" s="17">
        <v>1331817</v>
      </c>
      <c r="B874" s="1">
        <v>46051</v>
      </c>
      <c r="C874">
        <v>9</v>
      </c>
    </row>
    <row r="875" spans="1:3" x14ac:dyDescent="0.25">
      <c r="A875" s="17">
        <v>1711217</v>
      </c>
      <c r="B875" s="1">
        <v>46051</v>
      </c>
      <c r="C875">
        <v>20</v>
      </c>
    </row>
    <row r="876" spans="1:3" x14ac:dyDescent="0.25">
      <c r="A876" s="17">
        <v>2012714</v>
      </c>
      <c r="B876" s="1">
        <v>46051</v>
      </c>
      <c r="C876">
        <v>7</v>
      </c>
    </row>
    <row r="877" spans="1:3" x14ac:dyDescent="0.25">
      <c r="A877" s="17">
        <v>2310329</v>
      </c>
      <c r="B877" s="1">
        <v>46051</v>
      </c>
      <c r="C877">
        <v>17</v>
      </c>
    </row>
    <row r="878" spans="1:3" x14ac:dyDescent="0.25">
      <c r="A878" s="17">
        <v>2424707</v>
      </c>
      <c r="B878" s="1">
        <v>46051</v>
      </c>
      <c r="C878">
        <v>22</v>
      </c>
    </row>
    <row r="879" spans="1:3" x14ac:dyDescent="0.25">
      <c r="A879" s="17">
        <v>2732499</v>
      </c>
      <c r="B879" s="1">
        <v>46051</v>
      </c>
      <c r="C879">
        <v>10</v>
      </c>
    </row>
    <row r="880" spans="1:3" x14ac:dyDescent="0.25">
      <c r="A880" s="17">
        <v>2858379</v>
      </c>
      <c r="B880" s="1">
        <v>46051</v>
      </c>
      <c r="C880">
        <v>8</v>
      </c>
    </row>
    <row r="881" spans="1:3" x14ac:dyDescent="0.25">
      <c r="A881" s="17">
        <v>2982488</v>
      </c>
      <c r="B881" s="1">
        <v>46051</v>
      </c>
      <c r="C881">
        <v>14</v>
      </c>
    </row>
    <row r="882" spans="1:3" x14ac:dyDescent="0.25">
      <c r="A882" s="17">
        <v>3894456</v>
      </c>
      <c r="B882" s="1">
        <v>46051</v>
      </c>
      <c r="C882">
        <v>24</v>
      </c>
    </row>
    <row r="883" spans="1:3" x14ac:dyDescent="0.25">
      <c r="A883" s="17">
        <v>4255235</v>
      </c>
      <c r="B883" s="1">
        <v>46051</v>
      </c>
      <c r="C883">
        <v>29</v>
      </c>
    </row>
    <row r="884" spans="1:3" x14ac:dyDescent="0.25">
      <c r="A884" s="17">
        <v>5619128</v>
      </c>
      <c r="B884" s="1">
        <v>46051</v>
      </c>
      <c r="C884">
        <v>12</v>
      </c>
    </row>
    <row r="885" spans="1:3" x14ac:dyDescent="0.25">
      <c r="A885" s="17">
        <v>5624747</v>
      </c>
      <c r="B885" s="1">
        <v>46051</v>
      </c>
      <c r="C885">
        <v>34</v>
      </c>
    </row>
    <row r="886" spans="1:3" x14ac:dyDescent="0.25">
      <c r="A886" s="17">
        <v>6230104</v>
      </c>
      <c r="B886" s="1">
        <v>46051</v>
      </c>
      <c r="C886">
        <v>23</v>
      </c>
    </row>
    <row r="887" spans="1:3" x14ac:dyDescent="0.25">
      <c r="A887" s="17">
        <v>6334728</v>
      </c>
      <c r="B887" s="1">
        <v>46051</v>
      </c>
      <c r="C887">
        <v>1</v>
      </c>
    </row>
    <row r="888" spans="1:3" x14ac:dyDescent="0.25">
      <c r="A888" s="17">
        <v>6341525</v>
      </c>
      <c r="B888" s="1">
        <v>46051</v>
      </c>
      <c r="C888">
        <v>6</v>
      </c>
    </row>
    <row r="889" spans="1:3" x14ac:dyDescent="0.25">
      <c r="A889" s="17">
        <v>6825224</v>
      </c>
      <c r="B889" s="1">
        <v>46051</v>
      </c>
      <c r="C889">
        <v>31</v>
      </c>
    </row>
    <row r="890" spans="1:3" x14ac:dyDescent="0.25">
      <c r="A890" s="17">
        <v>6828260</v>
      </c>
      <c r="B890" s="1">
        <v>46051</v>
      </c>
      <c r="C890">
        <v>29</v>
      </c>
    </row>
    <row r="891" spans="1:3" x14ac:dyDescent="0.25">
      <c r="A891" s="17">
        <v>7023463</v>
      </c>
      <c r="B891" s="1">
        <v>46051</v>
      </c>
      <c r="C891">
        <v>18</v>
      </c>
    </row>
    <row r="892" spans="1:3" x14ac:dyDescent="0.25">
      <c r="A892" s="17">
        <v>7165581</v>
      </c>
      <c r="B892" s="1">
        <v>46051</v>
      </c>
      <c r="C892">
        <v>27</v>
      </c>
    </row>
    <row r="893" spans="1:3" x14ac:dyDescent="0.25">
      <c r="A893" s="17">
        <v>7747619</v>
      </c>
      <c r="B893" s="1">
        <v>46051</v>
      </c>
      <c r="C893">
        <v>24</v>
      </c>
    </row>
    <row r="894" spans="1:3" x14ac:dyDescent="0.25">
      <c r="A894" s="17">
        <v>7944400</v>
      </c>
      <c r="B894" s="1">
        <v>46051</v>
      </c>
      <c r="C894">
        <v>16</v>
      </c>
    </row>
    <row r="895" spans="1:3" x14ac:dyDescent="0.25">
      <c r="A895" s="17">
        <v>8306905</v>
      </c>
      <c r="B895" s="1">
        <v>46051</v>
      </c>
      <c r="C895">
        <v>25</v>
      </c>
    </row>
    <row r="896" spans="1:3" x14ac:dyDescent="0.25">
      <c r="A896" s="17">
        <v>8405468</v>
      </c>
      <c r="B896" s="1">
        <v>46051</v>
      </c>
      <c r="C896">
        <v>0</v>
      </c>
    </row>
    <row r="897" spans="1:3" x14ac:dyDescent="0.25">
      <c r="A897" s="17">
        <v>8551457</v>
      </c>
      <c r="B897" s="1">
        <v>46051</v>
      </c>
      <c r="C897">
        <v>12</v>
      </c>
    </row>
    <row r="898" spans="1:3" x14ac:dyDescent="0.25">
      <c r="A898" s="17">
        <v>8860153</v>
      </c>
      <c r="B898" s="1">
        <v>46051</v>
      </c>
      <c r="C898">
        <v>3</v>
      </c>
    </row>
    <row r="899" spans="1:3" x14ac:dyDescent="0.25">
      <c r="A899" s="17">
        <v>9044404</v>
      </c>
      <c r="B899" s="1">
        <v>46051</v>
      </c>
      <c r="C899">
        <v>14</v>
      </c>
    </row>
    <row r="900" spans="1:3" x14ac:dyDescent="0.25">
      <c r="A900" s="17">
        <v>9115955</v>
      </c>
      <c r="B900" s="1">
        <v>46051</v>
      </c>
      <c r="C900">
        <v>13</v>
      </c>
    </row>
    <row r="901" spans="1:3" x14ac:dyDescent="0.25">
      <c r="A901" s="17">
        <v>9292315</v>
      </c>
      <c r="B901" s="1">
        <v>46051</v>
      </c>
      <c r="C901">
        <v>7</v>
      </c>
    </row>
    <row r="902" spans="1:3" x14ac:dyDescent="0.25">
      <c r="A902" s="17">
        <v>1088638</v>
      </c>
      <c r="B902" s="1">
        <v>46052</v>
      </c>
      <c r="C902">
        <v>32</v>
      </c>
    </row>
    <row r="903" spans="1:3" x14ac:dyDescent="0.25">
      <c r="A903" s="17">
        <v>1253167</v>
      </c>
      <c r="B903" s="1">
        <v>46052</v>
      </c>
      <c r="C903">
        <v>38</v>
      </c>
    </row>
    <row r="904" spans="1:3" x14ac:dyDescent="0.25">
      <c r="A904" s="17">
        <v>1331817</v>
      </c>
      <c r="B904" s="1">
        <v>46052</v>
      </c>
      <c r="C904">
        <v>9</v>
      </c>
    </row>
    <row r="905" spans="1:3" x14ac:dyDescent="0.25">
      <c r="A905" s="17">
        <v>1711217</v>
      </c>
      <c r="B905" s="1">
        <v>46052</v>
      </c>
      <c r="C905">
        <v>19</v>
      </c>
    </row>
    <row r="906" spans="1:3" x14ac:dyDescent="0.25">
      <c r="A906" s="17">
        <v>2012714</v>
      </c>
      <c r="B906" s="1">
        <v>46052</v>
      </c>
      <c r="C906">
        <v>7</v>
      </c>
    </row>
    <row r="907" spans="1:3" x14ac:dyDescent="0.25">
      <c r="A907" s="17">
        <v>2310329</v>
      </c>
      <c r="B907" s="1">
        <v>46052</v>
      </c>
      <c r="C907">
        <v>17</v>
      </c>
    </row>
    <row r="908" spans="1:3" x14ac:dyDescent="0.25">
      <c r="A908" s="17">
        <v>2424707</v>
      </c>
      <c r="B908" s="1">
        <v>46052</v>
      </c>
      <c r="C908">
        <v>22</v>
      </c>
    </row>
    <row r="909" spans="1:3" x14ac:dyDescent="0.25">
      <c r="A909" s="17">
        <v>2732499</v>
      </c>
      <c r="B909" s="1">
        <v>46052</v>
      </c>
      <c r="C909">
        <v>10</v>
      </c>
    </row>
    <row r="910" spans="1:3" x14ac:dyDescent="0.25">
      <c r="A910" s="17">
        <v>2858379</v>
      </c>
      <c r="B910" s="1">
        <v>46052</v>
      </c>
      <c r="C910">
        <v>8</v>
      </c>
    </row>
    <row r="911" spans="1:3" x14ac:dyDescent="0.25">
      <c r="A911" s="17">
        <v>2982488</v>
      </c>
      <c r="B911" s="1">
        <v>46052</v>
      </c>
      <c r="C911">
        <v>14</v>
      </c>
    </row>
    <row r="912" spans="1:3" x14ac:dyDescent="0.25">
      <c r="A912" s="17">
        <v>3894456</v>
      </c>
      <c r="B912" s="1">
        <v>46052</v>
      </c>
      <c r="C912">
        <v>20</v>
      </c>
    </row>
    <row r="913" spans="1:3" x14ac:dyDescent="0.25">
      <c r="A913" s="17">
        <v>4255235</v>
      </c>
      <c r="B913" s="1">
        <v>46052</v>
      </c>
      <c r="C913">
        <v>29</v>
      </c>
    </row>
    <row r="914" spans="1:3" x14ac:dyDescent="0.25">
      <c r="A914" s="17">
        <v>5619128</v>
      </c>
      <c r="B914" s="1">
        <v>46052</v>
      </c>
      <c r="C914">
        <v>12</v>
      </c>
    </row>
    <row r="915" spans="1:3" x14ac:dyDescent="0.25">
      <c r="A915" s="17">
        <v>5624747</v>
      </c>
      <c r="B915" s="1">
        <v>46052</v>
      </c>
      <c r="C915">
        <v>33</v>
      </c>
    </row>
    <row r="916" spans="1:3" x14ac:dyDescent="0.25">
      <c r="A916" s="17">
        <v>6230104</v>
      </c>
      <c r="B916" s="1">
        <v>46052</v>
      </c>
      <c r="C916">
        <v>23</v>
      </c>
    </row>
    <row r="917" spans="1:3" x14ac:dyDescent="0.25">
      <c r="A917" s="17">
        <v>6334728</v>
      </c>
      <c r="B917" s="1">
        <v>46052</v>
      </c>
      <c r="C917">
        <v>1</v>
      </c>
    </row>
    <row r="918" spans="1:3" x14ac:dyDescent="0.25">
      <c r="A918" s="17">
        <v>6341525</v>
      </c>
      <c r="B918" s="1">
        <v>46052</v>
      </c>
      <c r="C918">
        <v>6</v>
      </c>
    </row>
    <row r="919" spans="1:3" x14ac:dyDescent="0.25">
      <c r="A919" s="17">
        <v>6825224</v>
      </c>
      <c r="B919" s="1">
        <v>46052</v>
      </c>
      <c r="C919">
        <v>31</v>
      </c>
    </row>
    <row r="920" spans="1:3" x14ac:dyDescent="0.25">
      <c r="A920" s="17">
        <v>6828260</v>
      </c>
      <c r="B920" s="1">
        <v>46052</v>
      </c>
      <c r="C920">
        <v>29</v>
      </c>
    </row>
    <row r="921" spans="1:3" x14ac:dyDescent="0.25">
      <c r="A921" s="17">
        <v>7023463</v>
      </c>
      <c r="B921" s="1">
        <v>46052</v>
      </c>
      <c r="C921">
        <v>18</v>
      </c>
    </row>
    <row r="922" spans="1:3" x14ac:dyDescent="0.25">
      <c r="A922" s="17">
        <v>7165581</v>
      </c>
      <c r="B922" s="1">
        <v>46052</v>
      </c>
      <c r="C922">
        <v>27</v>
      </c>
    </row>
    <row r="923" spans="1:3" x14ac:dyDescent="0.25">
      <c r="A923" s="17">
        <v>7747619</v>
      </c>
      <c r="B923" s="1">
        <v>46052</v>
      </c>
      <c r="C923">
        <v>24</v>
      </c>
    </row>
    <row r="924" spans="1:3" x14ac:dyDescent="0.25">
      <c r="A924" s="17">
        <v>7944400</v>
      </c>
      <c r="B924" s="1">
        <v>46052</v>
      </c>
      <c r="C924">
        <v>16</v>
      </c>
    </row>
    <row r="925" spans="1:3" x14ac:dyDescent="0.25">
      <c r="A925" s="17">
        <v>8306905</v>
      </c>
      <c r="B925" s="1">
        <v>46052</v>
      </c>
      <c r="C925">
        <v>25</v>
      </c>
    </row>
    <row r="926" spans="1:3" x14ac:dyDescent="0.25">
      <c r="A926" s="17">
        <v>8405468</v>
      </c>
      <c r="B926" s="1">
        <v>46052</v>
      </c>
      <c r="C926">
        <v>0</v>
      </c>
    </row>
    <row r="927" spans="1:3" x14ac:dyDescent="0.25">
      <c r="A927" s="17">
        <v>8551457</v>
      </c>
      <c r="B927" s="1">
        <v>46052</v>
      </c>
      <c r="C927">
        <v>12</v>
      </c>
    </row>
    <row r="928" spans="1:3" x14ac:dyDescent="0.25">
      <c r="A928" s="17">
        <v>8860153</v>
      </c>
      <c r="B928" s="1">
        <v>46052</v>
      </c>
      <c r="C928">
        <v>3</v>
      </c>
    </row>
    <row r="929" spans="1:3" x14ac:dyDescent="0.25">
      <c r="A929" s="17">
        <v>9044404</v>
      </c>
      <c r="B929" s="1">
        <v>46052</v>
      </c>
      <c r="C929">
        <v>14</v>
      </c>
    </row>
    <row r="930" spans="1:3" x14ac:dyDescent="0.25">
      <c r="A930" s="17">
        <v>9115955</v>
      </c>
      <c r="B930" s="1">
        <v>46052</v>
      </c>
      <c r="C930">
        <v>13</v>
      </c>
    </row>
    <row r="931" spans="1:3" x14ac:dyDescent="0.25">
      <c r="A931" s="17">
        <v>9292315</v>
      </c>
      <c r="B931" s="1">
        <v>46052</v>
      </c>
      <c r="C931">
        <v>1</v>
      </c>
    </row>
    <row r="932" spans="1:3" x14ac:dyDescent="0.25">
      <c r="A932" s="17">
        <v>1088638</v>
      </c>
      <c r="B932" s="1">
        <v>46053</v>
      </c>
      <c r="C932">
        <v>32</v>
      </c>
    </row>
    <row r="933" spans="1:3" x14ac:dyDescent="0.25">
      <c r="A933" s="17">
        <v>1253167</v>
      </c>
      <c r="B933" s="1">
        <v>46053</v>
      </c>
      <c r="C933">
        <v>38</v>
      </c>
    </row>
    <row r="934" spans="1:3" x14ac:dyDescent="0.25">
      <c r="A934" s="17">
        <v>1331817</v>
      </c>
      <c r="B934" s="1">
        <v>46053</v>
      </c>
      <c r="C934">
        <v>6</v>
      </c>
    </row>
    <row r="935" spans="1:3" x14ac:dyDescent="0.25">
      <c r="A935" s="17">
        <v>1711217</v>
      </c>
      <c r="B935" s="1">
        <v>46053</v>
      </c>
      <c r="C935">
        <v>19</v>
      </c>
    </row>
    <row r="936" spans="1:3" x14ac:dyDescent="0.25">
      <c r="A936" s="17">
        <v>2012714</v>
      </c>
      <c r="B936" s="1">
        <v>46053</v>
      </c>
      <c r="C936">
        <v>7</v>
      </c>
    </row>
    <row r="937" spans="1:3" x14ac:dyDescent="0.25">
      <c r="A937" s="17">
        <v>2310329</v>
      </c>
      <c r="B937" s="1">
        <v>46053</v>
      </c>
      <c r="C937">
        <v>17</v>
      </c>
    </row>
    <row r="938" spans="1:3" x14ac:dyDescent="0.25">
      <c r="A938" s="17">
        <v>2424707</v>
      </c>
      <c r="B938" s="1">
        <v>46053</v>
      </c>
      <c r="C938">
        <v>22</v>
      </c>
    </row>
    <row r="939" spans="1:3" x14ac:dyDescent="0.25">
      <c r="A939" s="17">
        <v>2732499</v>
      </c>
      <c r="B939" s="1">
        <v>46053</v>
      </c>
      <c r="C939">
        <v>7</v>
      </c>
    </row>
    <row r="940" spans="1:3" x14ac:dyDescent="0.25">
      <c r="A940" s="17">
        <v>2858379</v>
      </c>
      <c r="B940" s="1">
        <v>46053</v>
      </c>
      <c r="C940">
        <v>7</v>
      </c>
    </row>
    <row r="941" spans="1:3" x14ac:dyDescent="0.25">
      <c r="A941" s="17">
        <v>2982488</v>
      </c>
      <c r="B941" s="1">
        <v>46053</v>
      </c>
      <c r="C941">
        <v>14</v>
      </c>
    </row>
    <row r="942" spans="1:3" x14ac:dyDescent="0.25">
      <c r="A942" s="17">
        <v>3894456</v>
      </c>
      <c r="B942" s="1">
        <v>46053</v>
      </c>
      <c r="C942">
        <v>18</v>
      </c>
    </row>
    <row r="943" spans="1:3" x14ac:dyDescent="0.25">
      <c r="A943" s="17">
        <v>4255235</v>
      </c>
      <c r="B943" s="1">
        <v>46053</v>
      </c>
      <c r="C943">
        <v>29</v>
      </c>
    </row>
    <row r="944" spans="1:3" x14ac:dyDescent="0.25">
      <c r="A944" s="17">
        <v>5619128</v>
      </c>
      <c r="B944" s="1">
        <v>46053</v>
      </c>
      <c r="C944">
        <v>12</v>
      </c>
    </row>
    <row r="945" spans="1:3" x14ac:dyDescent="0.25">
      <c r="A945" s="17">
        <v>5624747</v>
      </c>
      <c r="B945" s="1">
        <v>46053</v>
      </c>
      <c r="C945">
        <v>33</v>
      </c>
    </row>
    <row r="946" spans="1:3" x14ac:dyDescent="0.25">
      <c r="A946" s="17">
        <v>6230104</v>
      </c>
      <c r="B946" s="1">
        <v>46053</v>
      </c>
      <c r="C946">
        <v>23</v>
      </c>
    </row>
    <row r="947" spans="1:3" x14ac:dyDescent="0.25">
      <c r="A947" s="17">
        <v>6334728</v>
      </c>
      <c r="B947" s="1">
        <v>46053</v>
      </c>
      <c r="C947">
        <v>0</v>
      </c>
    </row>
    <row r="948" spans="1:3" x14ac:dyDescent="0.25">
      <c r="A948" s="17">
        <v>6341525</v>
      </c>
      <c r="B948" s="1">
        <v>46053</v>
      </c>
      <c r="C948">
        <v>6</v>
      </c>
    </row>
    <row r="949" spans="1:3" x14ac:dyDescent="0.25">
      <c r="A949" s="17">
        <v>6825224</v>
      </c>
      <c r="B949" s="1">
        <v>46053</v>
      </c>
      <c r="C949">
        <v>29</v>
      </c>
    </row>
    <row r="950" spans="1:3" x14ac:dyDescent="0.25">
      <c r="A950" s="17">
        <v>6828260</v>
      </c>
      <c r="B950" s="1">
        <v>46053</v>
      </c>
      <c r="C950">
        <v>29</v>
      </c>
    </row>
    <row r="951" spans="1:3" x14ac:dyDescent="0.25">
      <c r="A951" s="17">
        <v>7023463</v>
      </c>
      <c r="B951" s="1">
        <v>46053</v>
      </c>
      <c r="C951">
        <v>13</v>
      </c>
    </row>
    <row r="952" spans="1:3" x14ac:dyDescent="0.25">
      <c r="A952" s="17">
        <v>7165581</v>
      </c>
      <c r="B952" s="1">
        <v>46053</v>
      </c>
      <c r="C952">
        <v>22</v>
      </c>
    </row>
    <row r="953" spans="1:3" x14ac:dyDescent="0.25">
      <c r="A953" s="17">
        <v>7747619</v>
      </c>
      <c r="B953" s="1">
        <v>46053</v>
      </c>
      <c r="C953">
        <v>24</v>
      </c>
    </row>
    <row r="954" spans="1:3" x14ac:dyDescent="0.25">
      <c r="A954" s="17">
        <v>7944400</v>
      </c>
      <c r="B954" s="1">
        <v>46053</v>
      </c>
      <c r="C954">
        <v>16</v>
      </c>
    </row>
    <row r="955" spans="1:3" x14ac:dyDescent="0.25">
      <c r="A955" s="17">
        <v>8306905</v>
      </c>
      <c r="B955" s="1">
        <v>46053</v>
      </c>
      <c r="C955">
        <v>25</v>
      </c>
    </row>
    <row r="956" spans="1:3" x14ac:dyDescent="0.25">
      <c r="A956" s="17">
        <v>8405468</v>
      </c>
      <c r="B956" s="1">
        <v>46053</v>
      </c>
      <c r="C956">
        <v>0</v>
      </c>
    </row>
    <row r="957" spans="1:3" x14ac:dyDescent="0.25">
      <c r="A957" s="17">
        <v>8551457</v>
      </c>
      <c r="B957" s="1">
        <v>46053</v>
      </c>
      <c r="C957">
        <v>12</v>
      </c>
    </row>
    <row r="958" spans="1:3" x14ac:dyDescent="0.25">
      <c r="A958" s="17">
        <v>8860153</v>
      </c>
      <c r="B958" s="1">
        <v>46053</v>
      </c>
      <c r="C958">
        <v>3</v>
      </c>
    </row>
    <row r="959" spans="1:3" x14ac:dyDescent="0.25">
      <c r="A959" s="17">
        <v>9044404</v>
      </c>
      <c r="B959" s="1">
        <v>46053</v>
      </c>
      <c r="C959">
        <v>14</v>
      </c>
    </row>
    <row r="960" spans="1:3" x14ac:dyDescent="0.25">
      <c r="A960" s="17">
        <v>9115955</v>
      </c>
      <c r="B960" s="1">
        <v>46053</v>
      </c>
      <c r="C960">
        <v>13</v>
      </c>
    </row>
    <row r="961" spans="1:3" x14ac:dyDescent="0.25">
      <c r="A961" s="17">
        <v>9292315</v>
      </c>
      <c r="B961" s="1">
        <v>46053</v>
      </c>
      <c r="C961">
        <v>0</v>
      </c>
    </row>
    <row r="962" spans="1:3" x14ac:dyDescent="0.25">
      <c r="A962" s="17">
        <v>1088638</v>
      </c>
      <c r="B962" s="1">
        <v>46054</v>
      </c>
      <c r="C962">
        <v>32</v>
      </c>
    </row>
    <row r="963" spans="1:3" x14ac:dyDescent="0.25">
      <c r="A963" s="17">
        <v>1253167</v>
      </c>
      <c r="B963" s="1">
        <v>46054</v>
      </c>
      <c r="C963">
        <v>31</v>
      </c>
    </row>
    <row r="964" spans="1:3" x14ac:dyDescent="0.25">
      <c r="A964" s="17">
        <v>1331817</v>
      </c>
      <c r="B964" s="1">
        <v>46054</v>
      </c>
      <c r="C964">
        <v>6</v>
      </c>
    </row>
    <row r="965" spans="1:3" x14ac:dyDescent="0.25">
      <c r="A965" s="17">
        <v>1711217</v>
      </c>
      <c r="B965" s="1">
        <v>46054</v>
      </c>
      <c r="C965">
        <v>16</v>
      </c>
    </row>
    <row r="966" spans="1:3" x14ac:dyDescent="0.25">
      <c r="A966" s="17">
        <v>2012714</v>
      </c>
      <c r="B966" s="1">
        <v>46054</v>
      </c>
      <c r="C966">
        <v>7</v>
      </c>
    </row>
    <row r="967" spans="1:3" x14ac:dyDescent="0.25">
      <c r="A967" s="17">
        <v>2310329</v>
      </c>
      <c r="B967" s="1">
        <v>46054</v>
      </c>
      <c r="C967">
        <v>17</v>
      </c>
    </row>
    <row r="968" spans="1:3" x14ac:dyDescent="0.25">
      <c r="A968" s="17">
        <v>2424707</v>
      </c>
      <c r="B968" s="1">
        <v>46054</v>
      </c>
      <c r="C968">
        <v>22</v>
      </c>
    </row>
    <row r="969" spans="1:3" x14ac:dyDescent="0.25">
      <c r="A969" s="17">
        <v>2732499</v>
      </c>
      <c r="B969" s="1">
        <v>46054</v>
      </c>
      <c r="C969">
        <v>4</v>
      </c>
    </row>
    <row r="970" spans="1:3" x14ac:dyDescent="0.25">
      <c r="A970" s="17">
        <v>2858379</v>
      </c>
      <c r="B970" s="1">
        <v>46054</v>
      </c>
      <c r="C970">
        <v>7</v>
      </c>
    </row>
    <row r="971" spans="1:3" x14ac:dyDescent="0.25">
      <c r="A971" s="17">
        <v>2982488</v>
      </c>
      <c r="B971" s="1">
        <v>46054</v>
      </c>
      <c r="C971">
        <v>14</v>
      </c>
    </row>
    <row r="972" spans="1:3" x14ac:dyDescent="0.25">
      <c r="A972" s="17">
        <v>3894456</v>
      </c>
      <c r="B972" s="1">
        <v>46054</v>
      </c>
      <c r="C972">
        <v>18</v>
      </c>
    </row>
    <row r="973" spans="1:3" x14ac:dyDescent="0.25">
      <c r="A973" s="17">
        <v>4255235</v>
      </c>
      <c r="B973" s="1">
        <v>46054</v>
      </c>
      <c r="C973">
        <v>26</v>
      </c>
    </row>
    <row r="974" spans="1:3" x14ac:dyDescent="0.25">
      <c r="A974" s="17">
        <v>5619128</v>
      </c>
      <c r="B974" s="1">
        <v>46054</v>
      </c>
      <c r="C974">
        <v>12</v>
      </c>
    </row>
    <row r="975" spans="1:3" x14ac:dyDescent="0.25">
      <c r="A975" s="17">
        <v>5624747</v>
      </c>
      <c r="B975" s="1">
        <v>46054</v>
      </c>
      <c r="C975">
        <v>33</v>
      </c>
    </row>
    <row r="976" spans="1:3" x14ac:dyDescent="0.25">
      <c r="A976" s="17">
        <v>6230104</v>
      </c>
      <c r="B976" s="1">
        <v>46054</v>
      </c>
      <c r="C976">
        <v>22</v>
      </c>
    </row>
    <row r="977" spans="1:3" x14ac:dyDescent="0.25">
      <c r="A977" s="17">
        <v>6334728</v>
      </c>
      <c r="B977" s="1">
        <v>46054</v>
      </c>
      <c r="C977">
        <v>0</v>
      </c>
    </row>
    <row r="978" spans="1:3" x14ac:dyDescent="0.25">
      <c r="A978" s="17">
        <v>6341525</v>
      </c>
      <c r="B978" s="1">
        <v>46054</v>
      </c>
      <c r="C978">
        <v>6</v>
      </c>
    </row>
    <row r="979" spans="1:3" x14ac:dyDescent="0.25">
      <c r="A979" s="17">
        <v>6825224</v>
      </c>
      <c r="B979" s="1">
        <v>46054</v>
      </c>
      <c r="C979">
        <v>27</v>
      </c>
    </row>
    <row r="980" spans="1:3" x14ac:dyDescent="0.25">
      <c r="A980" s="17">
        <v>6828260</v>
      </c>
      <c r="B980" s="1">
        <v>46054</v>
      </c>
      <c r="C980">
        <v>29</v>
      </c>
    </row>
    <row r="981" spans="1:3" x14ac:dyDescent="0.25">
      <c r="A981" s="17">
        <v>7023463</v>
      </c>
      <c r="B981" s="1">
        <v>46054</v>
      </c>
      <c r="C981">
        <v>13</v>
      </c>
    </row>
    <row r="982" spans="1:3" x14ac:dyDescent="0.25">
      <c r="A982" s="17">
        <v>7165581</v>
      </c>
      <c r="B982" s="1">
        <v>46054</v>
      </c>
      <c r="C982">
        <v>22</v>
      </c>
    </row>
    <row r="983" spans="1:3" x14ac:dyDescent="0.25">
      <c r="A983" s="17">
        <v>7747619</v>
      </c>
      <c r="B983" s="1">
        <v>46054</v>
      </c>
      <c r="C983">
        <v>21</v>
      </c>
    </row>
    <row r="984" spans="1:3" x14ac:dyDescent="0.25">
      <c r="A984" s="17">
        <v>7944400</v>
      </c>
      <c r="B984" s="1">
        <v>46054</v>
      </c>
      <c r="C984">
        <v>16</v>
      </c>
    </row>
    <row r="985" spans="1:3" x14ac:dyDescent="0.25">
      <c r="A985" s="17">
        <v>8306905</v>
      </c>
      <c r="B985" s="1">
        <v>46054</v>
      </c>
      <c r="C985">
        <v>21</v>
      </c>
    </row>
    <row r="986" spans="1:3" x14ac:dyDescent="0.25">
      <c r="A986" s="17">
        <v>8405468</v>
      </c>
      <c r="B986" s="1">
        <v>46054</v>
      </c>
      <c r="C986">
        <v>0</v>
      </c>
    </row>
    <row r="987" spans="1:3" x14ac:dyDescent="0.25">
      <c r="A987" s="17">
        <v>8551457</v>
      </c>
      <c r="B987" s="1">
        <v>46054</v>
      </c>
      <c r="C987">
        <v>12</v>
      </c>
    </row>
    <row r="988" spans="1:3" x14ac:dyDescent="0.25">
      <c r="A988" s="17">
        <v>8860153</v>
      </c>
      <c r="B988" s="1">
        <v>46054</v>
      </c>
      <c r="C988">
        <v>3</v>
      </c>
    </row>
    <row r="989" spans="1:3" x14ac:dyDescent="0.25">
      <c r="A989" s="17">
        <v>9044404</v>
      </c>
      <c r="B989" s="1">
        <v>46054</v>
      </c>
      <c r="C989">
        <v>14</v>
      </c>
    </row>
    <row r="990" spans="1:3" x14ac:dyDescent="0.25">
      <c r="A990" s="17">
        <v>9115955</v>
      </c>
      <c r="B990" s="1">
        <v>46054</v>
      </c>
      <c r="C990">
        <v>13</v>
      </c>
    </row>
    <row r="991" spans="1:3" x14ac:dyDescent="0.25">
      <c r="A991" s="17">
        <v>9292315</v>
      </c>
      <c r="B991" s="1">
        <v>46054</v>
      </c>
      <c r="C991">
        <v>0</v>
      </c>
    </row>
    <row r="992" spans="1:3" x14ac:dyDescent="0.25">
      <c r="A992" s="17">
        <v>1088638</v>
      </c>
      <c r="B992" s="1">
        <v>46055</v>
      </c>
      <c r="C992">
        <v>30</v>
      </c>
    </row>
    <row r="993" spans="1:3" x14ac:dyDescent="0.25">
      <c r="A993" s="17">
        <v>1253167</v>
      </c>
      <c r="B993" s="1">
        <v>46055</v>
      </c>
      <c r="C993">
        <v>52</v>
      </c>
    </row>
    <row r="994" spans="1:3" x14ac:dyDescent="0.25">
      <c r="A994" s="17">
        <v>1331817</v>
      </c>
      <c r="B994" s="1">
        <v>46055</v>
      </c>
      <c r="C994">
        <v>6</v>
      </c>
    </row>
    <row r="995" spans="1:3" x14ac:dyDescent="0.25">
      <c r="A995" s="17">
        <v>1711217</v>
      </c>
      <c r="B995" s="1">
        <v>46055</v>
      </c>
      <c r="C995">
        <v>40</v>
      </c>
    </row>
    <row r="996" spans="1:3" x14ac:dyDescent="0.25">
      <c r="A996" s="17">
        <v>2012714</v>
      </c>
      <c r="B996" s="1">
        <v>46055</v>
      </c>
      <c r="C996">
        <v>7</v>
      </c>
    </row>
    <row r="997" spans="1:3" x14ac:dyDescent="0.25">
      <c r="A997" s="17">
        <v>2310329</v>
      </c>
      <c r="B997" s="1">
        <v>46055</v>
      </c>
      <c r="C997">
        <v>17</v>
      </c>
    </row>
    <row r="998" spans="1:3" x14ac:dyDescent="0.25">
      <c r="A998" s="17">
        <v>2424707</v>
      </c>
      <c r="B998" s="1">
        <v>46055</v>
      </c>
      <c r="C998">
        <v>22</v>
      </c>
    </row>
    <row r="999" spans="1:3" x14ac:dyDescent="0.25">
      <c r="A999" s="17">
        <v>2732499</v>
      </c>
      <c r="B999" s="1">
        <v>46055</v>
      </c>
      <c r="C999">
        <v>28</v>
      </c>
    </row>
    <row r="1000" spans="1:3" x14ac:dyDescent="0.25">
      <c r="A1000" s="17">
        <v>2858379</v>
      </c>
      <c r="B1000" s="1">
        <v>46055</v>
      </c>
      <c r="C1000">
        <v>7</v>
      </c>
    </row>
    <row r="1001" spans="1:3" x14ac:dyDescent="0.25">
      <c r="A1001" s="17">
        <v>2982488</v>
      </c>
      <c r="B1001" s="1">
        <v>46055</v>
      </c>
      <c r="C1001">
        <v>14</v>
      </c>
    </row>
    <row r="1002" spans="1:3" x14ac:dyDescent="0.25">
      <c r="A1002" s="17">
        <v>3894456</v>
      </c>
      <c r="B1002" s="1">
        <v>46055</v>
      </c>
      <c r="C1002">
        <v>18</v>
      </c>
    </row>
    <row r="1003" spans="1:3" x14ac:dyDescent="0.25">
      <c r="A1003" s="17">
        <v>4255235</v>
      </c>
      <c r="B1003" s="1">
        <v>46055</v>
      </c>
      <c r="C1003">
        <v>26</v>
      </c>
    </row>
    <row r="1004" spans="1:3" x14ac:dyDescent="0.25">
      <c r="A1004" s="17">
        <v>5619128</v>
      </c>
      <c r="B1004" s="1">
        <v>46055</v>
      </c>
      <c r="C1004">
        <v>12</v>
      </c>
    </row>
    <row r="1005" spans="1:3" x14ac:dyDescent="0.25">
      <c r="A1005" s="17">
        <v>5624747</v>
      </c>
      <c r="B1005" s="1">
        <v>46055</v>
      </c>
      <c r="C1005">
        <v>33</v>
      </c>
    </row>
    <row r="1006" spans="1:3" x14ac:dyDescent="0.25">
      <c r="A1006" s="17">
        <v>6230104</v>
      </c>
      <c r="B1006" s="1">
        <v>46055</v>
      </c>
      <c r="C1006">
        <v>22</v>
      </c>
    </row>
    <row r="1007" spans="1:3" x14ac:dyDescent="0.25">
      <c r="A1007" s="17">
        <v>6334728</v>
      </c>
      <c r="B1007" s="1">
        <v>46055</v>
      </c>
      <c r="C1007">
        <v>28</v>
      </c>
    </row>
    <row r="1008" spans="1:3" x14ac:dyDescent="0.25">
      <c r="A1008" s="17">
        <v>6341525</v>
      </c>
      <c r="B1008" s="1">
        <v>46055</v>
      </c>
      <c r="C1008">
        <v>6</v>
      </c>
    </row>
    <row r="1009" spans="1:3" x14ac:dyDescent="0.25">
      <c r="A1009" s="17">
        <v>6825224</v>
      </c>
      <c r="B1009" s="1">
        <v>46055</v>
      </c>
      <c r="C1009">
        <v>27</v>
      </c>
    </row>
    <row r="1010" spans="1:3" x14ac:dyDescent="0.25">
      <c r="A1010" s="17">
        <v>6828260</v>
      </c>
      <c r="B1010" s="1">
        <v>46055</v>
      </c>
      <c r="C1010">
        <v>29</v>
      </c>
    </row>
    <row r="1011" spans="1:3" x14ac:dyDescent="0.25">
      <c r="A1011" s="17">
        <v>7023463</v>
      </c>
      <c r="B1011" s="1">
        <v>46055</v>
      </c>
      <c r="C1011">
        <v>13</v>
      </c>
    </row>
    <row r="1012" spans="1:3" x14ac:dyDescent="0.25">
      <c r="A1012" s="17">
        <v>7165581</v>
      </c>
      <c r="B1012" s="1">
        <v>46055</v>
      </c>
      <c r="C1012">
        <v>22</v>
      </c>
    </row>
    <row r="1013" spans="1:3" x14ac:dyDescent="0.25">
      <c r="A1013" s="17">
        <v>7747619</v>
      </c>
      <c r="B1013" s="1">
        <v>46055</v>
      </c>
      <c r="C1013">
        <v>19</v>
      </c>
    </row>
    <row r="1014" spans="1:3" x14ac:dyDescent="0.25">
      <c r="A1014" s="17">
        <v>7944400</v>
      </c>
      <c r="B1014" s="1">
        <v>46055</v>
      </c>
      <c r="C1014">
        <v>16</v>
      </c>
    </row>
    <row r="1015" spans="1:3" x14ac:dyDescent="0.25">
      <c r="A1015" s="17">
        <v>8306905</v>
      </c>
      <c r="B1015" s="1">
        <v>46055</v>
      </c>
      <c r="C1015">
        <v>21</v>
      </c>
    </row>
    <row r="1016" spans="1:3" x14ac:dyDescent="0.25">
      <c r="A1016" s="17">
        <v>8405468</v>
      </c>
      <c r="B1016" s="1">
        <v>46055</v>
      </c>
      <c r="C1016">
        <v>84</v>
      </c>
    </row>
    <row r="1017" spans="1:3" x14ac:dyDescent="0.25">
      <c r="A1017" s="17">
        <v>8551457</v>
      </c>
      <c r="B1017" s="1">
        <v>46055</v>
      </c>
      <c r="C1017">
        <v>12</v>
      </c>
    </row>
    <row r="1018" spans="1:3" x14ac:dyDescent="0.25">
      <c r="A1018" s="17">
        <v>8860153</v>
      </c>
      <c r="B1018" s="1">
        <v>46055</v>
      </c>
      <c r="C1018">
        <v>3</v>
      </c>
    </row>
    <row r="1019" spans="1:3" x14ac:dyDescent="0.25">
      <c r="A1019" s="17">
        <v>9044404</v>
      </c>
      <c r="B1019" s="1">
        <v>46055</v>
      </c>
      <c r="C1019">
        <v>14</v>
      </c>
    </row>
    <row r="1020" spans="1:3" x14ac:dyDescent="0.25">
      <c r="A1020" s="17">
        <v>9115955</v>
      </c>
      <c r="B1020" s="1">
        <v>46055</v>
      </c>
      <c r="C1020">
        <v>13</v>
      </c>
    </row>
    <row r="1021" spans="1:3" x14ac:dyDescent="0.25">
      <c r="A1021" s="17">
        <v>9292315</v>
      </c>
      <c r="B1021" s="1">
        <v>46055</v>
      </c>
      <c r="C1021">
        <v>56</v>
      </c>
    </row>
    <row r="1022" spans="1:3" x14ac:dyDescent="0.25">
      <c r="A1022" s="17">
        <v>1088638</v>
      </c>
      <c r="B1022" s="1">
        <v>46056</v>
      </c>
      <c r="C1022">
        <v>26</v>
      </c>
    </row>
    <row r="1023" spans="1:3" x14ac:dyDescent="0.25">
      <c r="A1023" s="17">
        <v>1253167</v>
      </c>
      <c r="B1023" s="1">
        <v>46056</v>
      </c>
      <c r="C1023">
        <v>49</v>
      </c>
    </row>
    <row r="1024" spans="1:3" x14ac:dyDescent="0.25">
      <c r="A1024" s="17">
        <v>1331817</v>
      </c>
      <c r="B1024" s="1">
        <v>46056</v>
      </c>
      <c r="C1024">
        <v>6</v>
      </c>
    </row>
    <row r="1025" spans="1:3" x14ac:dyDescent="0.25">
      <c r="A1025" s="17">
        <v>1711217</v>
      </c>
      <c r="B1025" s="1">
        <v>46056</v>
      </c>
      <c r="C1025">
        <v>36</v>
      </c>
    </row>
    <row r="1026" spans="1:3" x14ac:dyDescent="0.25">
      <c r="A1026" s="17">
        <v>2012714</v>
      </c>
      <c r="B1026" s="1">
        <v>46056</v>
      </c>
      <c r="C1026">
        <v>7</v>
      </c>
    </row>
    <row r="1027" spans="1:3" x14ac:dyDescent="0.25">
      <c r="A1027" s="17">
        <v>2310329</v>
      </c>
      <c r="B1027" s="1">
        <v>46056</v>
      </c>
      <c r="C1027">
        <v>17</v>
      </c>
    </row>
    <row r="1028" spans="1:3" x14ac:dyDescent="0.25">
      <c r="A1028" s="17">
        <v>2424707</v>
      </c>
      <c r="B1028" s="1">
        <v>46056</v>
      </c>
      <c r="C1028">
        <v>22</v>
      </c>
    </row>
    <row r="1029" spans="1:3" x14ac:dyDescent="0.25">
      <c r="A1029" s="17">
        <v>2732499</v>
      </c>
      <c r="B1029" s="1">
        <v>46056</v>
      </c>
      <c r="C1029">
        <v>23</v>
      </c>
    </row>
    <row r="1030" spans="1:3" x14ac:dyDescent="0.25">
      <c r="A1030" s="17">
        <v>2858379</v>
      </c>
      <c r="B1030" s="1">
        <v>46056</v>
      </c>
      <c r="C1030">
        <v>7</v>
      </c>
    </row>
    <row r="1031" spans="1:3" x14ac:dyDescent="0.25">
      <c r="A1031" s="17">
        <v>2982488</v>
      </c>
      <c r="B1031" s="1">
        <v>46056</v>
      </c>
      <c r="C1031">
        <v>14</v>
      </c>
    </row>
    <row r="1032" spans="1:3" x14ac:dyDescent="0.25">
      <c r="A1032" s="17">
        <v>3894456</v>
      </c>
      <c r="B1032" s="1">
        <v>46056</v>
      </c>
      <c r="C1032">
        <v>18</v>
      </c>
    </row>
    <row r="1033" spans="1:3" x14ac:dyDescent="0.25">
      <c r="A1033" s="17">
        <v>4255235</v>
      </c>
      <c r="B1033" s="1">
        <v>46056</v>
      </c>
      <c r="C1033">
        <v>26</v>
      </c>
    </row>
    <row r="1034" spans="1:3" x14ac:dyDescent="0.25">
      <c r="A1034" s="17">
        <v>5619128</v>
      </c>
      <c r="B1034" s="1">
        <v>46056</v>
      </c>
      <c r="C1034">
        <v>12</v>
      </c>
    </row>
    <row r="1035" spans="1:3" x14ac:dyDescent="0.25">
      <c r="A1035" s="17">
        <v>5624747</v>
      </c>
      <c r="B1035" s="1">
        <v>46056</v>
      </c>
      <c r="C1035">
        <v>31</v>
      </c>
    </row>
    <row r="1036" spans="1:3" x14ac:dyDescent="0.25">
      <c r="A1036" s="17">
        <v>6230104</v>
      </c>
      <c r="B1036" s="1">
        <v>46056</v>
      </c>
      <c r="C1036">
        <v>22</v>
      </c>
    </row>
    <row r="1037" spans="1:3" x14ac:dyDescent="0.25">
      <c r="A1037" s="17">
        <v>6334728</v>
      </c>
      <c r="B1037" s="1">
        <v>46056</v>
      </c>
      <c r="C1037">
        <v>25</v>
      </c>
    </row>
    <row r="1038" spans="1:3" x14ac:dyDescent="0.25">
      <c r="A1038" s="17">
        <v>6341525</v>
      </c>
      <c r="B1038" s="1">
        <v>46056</v>
      </c>
      <c r="C1038">
        <v>5</v>
      </c>
    </row>
    <row r="1039" spans="1:3" x14ac:dyDescent="0.25">
      <c r="A1039" s="17">
        <v>6825224</v>
      </c>
      <c r="B1039" s="1">
        <v>46056</v>
      </c>
      <c r="C1039">
        <v>27</v>
      </c>
    </row>
    <row r="1040" spans="1:3" x14ac:dyDescent="0.25">
      <c r="A1040" s="17">
        <v>6828260</v>
      </c>
      <c r="B1040" s="1">
        <v>46056</v>
      </c>
      <c r="C1040">
        <v>29</v>
      </c>
    </row>
    <row r="1041" spans="1:3" x14ac:dyDescent="0.25">
      <c r="A1041" s="17">
        <v>7023463</v>
      </c>
      <c r="B1041" s="1">
        <v>46056</v>
      </c>
      <c r="C1041">
        <v>11</v>
      </c>
    </row>
    <row r="1042" spans="1:3" x14ac:dyDescent="0.25">
      <c r="A1042" s="17">
        <v>7165581</v>
      </c>
      <c r="B1042" s="1">
        <v>46056</v>
      </c>
      <c r="C1042">
        <v>21</v>
      </c>
    </row>
    <row r="1043" spans="1:3" x14ac:dyDescent="0.25">
      <c r="A1043" s="17">
        <v>7747619</v>
      </c>
      <c r="B1043" s="1">
        <v>46056</v>
      </c>
      <c r="C1043">
        <v>19</v>
      </c>
    </row>
    <row r="1044" spans="1:3" x14ac:dyDescent="0.25">
      <c r="A1044" s="17">
        <v>7944400</v>
      </c>
      <c r="B1044" s="1">
        <v>46056</v>
      </c>
      <c r="C1044">
        <v>16</v>
      </c>
    </row>
    <row r="1045" spans="1:3" x14ac:dyDescent="0.25">
      <c r="A1045" s="17">
        <v>8306905</v>
      </c>
      <c r="B1045" s="1">
        <v>46056</v>
      </c>
      <c r="C1045">
        <v>18</v>
      </c>
    </row>
    <row r="1046" spans="1:3" x14ac:dyDescent="0.25">
      <c r="A1046" s="17">
        <v>8405468</v>
      </c>
      <c r="B1046" s="1">
        <v>46056</v>
      </c>
      <c r="C1046">
        <v>83</v>
      </c>
    </row>
    <row r="1047" spans="1:3" x14ac:dyDescent="0.25">
      <c r="A1047" s="17">
        <v>8551457</v>
      </c>
      <c r="B1047" s="1">
        <v>46056</v>
      </c>
      <c r="C1047">
        <v>12</v>
      </c>
    </row>
    <row r="1048" spans="1:3" x14ac:dyDescent="0.25">
      <c r="A1048" s="17">
        <v>8860153</v>
      </c>
      <c r="B1048" s="1">
        <v>46056</v>
      </c>
      <c r="C1048">
        <v>3</v>
      </c>
    </row>
    <row r="1049" spans="1:3" x14ac:dyDescent="0.25">
      <c r="A1049" s="17">
        <v>9044404</v>
      </c>
      <c r="B1049" s="1">
        <v>46056</v>
      </c>
      <c r="C1049">
        <v>14</v>
      </c>
    </row>
    <row r="1050" spans="1:3" x14ac:dyDescent="0.25">
      <c r="A1050" s="17">
        <v>9115955</v>
      </c>
      <c r="B1050" s="1">
        <v>46056</v>
      </c>
      <c r="C1050">
        <v>13</v>
      </c>
    </row>
    <row r="1051" spans="1:3" x14ac:dyDescent="0.25">
      <c r="A1051" s="17">
        <v>9292315</v>
      </c>
      <c r="B1051" s="1">
        <v>46056</v>
      </c>
      <c r="C1051">
        <v>51</v>
      </c>
    </row>
    <row r="1052" spans="1:3" x14ac:dyDescent="0.25">
      <c r="A1052" s="17">
        <v>1088638</v>
      </c>
      <c r="B1052" s="1">
        <v>46057</v>
      </c>
      <c r="C1052">
        <v>23</v>
      </c>
    </row>
    <row r="1053" spans="1:3" x14ac:dyDescent="0.25">
      <c r="A1053" s="17">
        <v>1253167</v>
      </c>
      <c r="B1053" s="1">
        <v>46057</v>
      </c>
      <c r="C1053">
        <v>47</v>
      </c>
    </row>
    <row r="1054" spans="1:3" x14ac:dyDescent="0.25">
      <c r="A1054" s="17">
        <v>1331817</v>
      </c>
      <c r="B1054" s="1">
        <v>46057</v>
      </c>
      <c r="C1054">
        <v>6</v>
      </c>
    </row>
    <row r="1055" spans="1:3" x14ac:dyDescent="0.25">
      <c r="A1055" s="17">
        <v>1711217</v>
      </c>
      <c r="B1055" s="1">
        <v>46057</v>
      </c>
      <c r="C1055">
        <v>33</v>
      </c>
    </row>
    <row r="1056" spans="1:3" x14ac:dyDescent="0.25">
      <c r="A1056" s="17">
        <v>2012714</v>
      </c>
      <c r="B1056" s="1">
        <v>46057</v>
      </c>
      <c r="C1056">
        <v>7</v>
      </c>
    </row>
    <row r="1057" spans="1:3" x14ac:dyDescent="0.25">
      <c r="A1057" s="17">
        <v>2310329</v>
      </c>
      <c r="B1057" s="1">
        <v>46057</v>
      </c>
      <c r="C1057">
        <v>17</v>
      </c>
    </row>
    <row r="1058" spans="1:3" x14ac:dyDescent="0.25">
      <c r="A1058" s="17">
        <v>2424707</v>
      </c>
      <c r="B1058" s="1">
        <v>46057</v>
      </c>
      <c r="C1058">
        <v>22</v>
      </c>
    </row>
    <row r="1059" spans="1:3" x14ac:dyDescent="0.25">
      <c r="A1059" s="17">
        <v>2732499</v>
      </c>
      <c r="B1059" s="1">
        <v>46057</v>
      </c>
      <c r="C1059">
        <v>23</v>
      </c>
    </row>
    <row r="1060" spans="1:3" x14ac:dyDescent="0.25">
      <c r="A1060" s="17">
        <v>2858379</v>
      </c>
      <c r="B1060" s="1">
        <v>46057</v>
      </c>
      <c r="C1060">
        <v>7</v>
      </c>
    </row>
    <row r="1061" spans="1:3" x14ac:dyDescent="0.25">
      <c r="A1061" s="17">
        <v>2982488</v>
      </c>
      <c r="B1061" s="1">
        <v>46057</v>
      </c>
      <c r="C1061">
        <v>14</v>
      </c>
    </row>
    <row r="1062" spans="1:3" x14ac:dyDescent="0.25">
      <c r="A1062" s="17">
        <v>3894456</v>
      </c>
      <c r="B1062" s="1">
        <v>46057</v>
      </c>
      <c r="C1062">
        <v>18</v>
      </c>
    </row>
    <row r="1063" spans="1:3" x14ac:dyDescent="0.25">
      <c r="A1063" s="17">
        <v>4255235</v>
      </c>
      <c r="B1063" s="1">
        <v>46057</v>
      </c>
      <c r="C1063">
        <v>26</v>
      </c>
    </row>
    <row r="1064" spans="1:3" x14ac:dyDescent="0.25">
      <c r="A1064" s="17">
        <v>5619128</v>
      </c>
      <c r="B1064" s="1">
        <v>46057</v>
      </c>
      <c r="C1064">
        <v>11</v>
      </c>
    </row>
    <row r="1065" spans="1:3" x14ac:dyDescent="0.25">
      <c r="A1065" s="17">
        <v>5624747</v>
      </c>
      <c r="B1065" s="1">
        <v>46057</v>
      </c>
      <c r="C1065">
        <v>26</v>
      </c>
    </row>
    <row r="1066" spans="1:3" x14ac:dyDescent="0.25">
      <c r="A1066" s="17">
        <v>6230104</v>
      </c>
      <c r="B1066" s="1">
        <v>46057</v>
      </c>
      <c r="C1066">
        <v>22</v>
      </c>
    </row>
    <row r="1067" spans="1:3" x14ac:dyDescent="0.25">
      <c r="A1067" s="17">
        <v>6334728</v>
      </c>
      <c r="B1067" s="1">
        <v>46057</v>
      </c>
      <c r="C1067">
        <v>25</v>
      </c>
    </row>
    <row r="1068" spans="1:3" x14ac:dyDescent="0.25">
      <c r="A1068" s="17">
        <v>6341525</v>
      </c>
      <c r="B1068" s="1">
        <v>46057</v>
      </c>
      <c r="C1068">
        <v>5</v>
      </c>
    </row>
    <row r="1069" spans="1:3" x14ac:dyDescent="0.25">
      <c r="A1069" s="17">
        <v>6825224</v>
      </c>
      <c r="B1069" s="1">
        <v>46057</v>
      </c>
      <c r="C1069">
        <v>25</v>
      </c>
    </row>
    <row r="1070" spans="1:3" x14ac:dyDescent="0.25">
      <c r="A1070" s="17">
        <v>6828260</v>
      </c>
      <c r="B1070" s="1">
        <v>46057</v>
      </c>
      <c r="C1070">
        <v>29</v>
      </c>
    </row>
    <row r="1071" spans="1:3" x14ac:dyDescent="0.25">
      <c r="A1071" s="17">
        <v>7023463</v>
      </c>
      <c r="B1071" s="1">
        <v>46057</v>
      </c>
      <c r="C1071">
        <v>8</v>
      </c>
    </row>
    <row r="1072" spans="1:3" x14ac:dyDescent="0.25">
      <c r="A1072" s="17">
        <v>7165581</v>
      </c>
      <c r="B1072" s="1">
        <v>46057</v>
      </c>
      <c r="C1072">
        <v>21</v>
      </c>
    </row>
    <row r="1073" spans="1:3" x14ac:dyDescent="0.25">
      <c r="A1073" s="17">
        <v>7747619</v>
      </c>
      <c r="B1073" s="1">
        <v>46057</v>
      </c>
      <c r="C1073">
        <v>19</v>
      </c>
    </row>
    <row r="1074" spans="1:3" x14ac:dyDescent="0.25">
      <c r="A1074" s="17">
        <v>7944400</v>
      </c>
      <c r="B1074" s="1">
        <v>46057</v>
      </c>
      <c r="C1074">
        <v>14</v>
      </c>
    </row>
    <row r="1075" spans="1:3" x14ac:dyDescent="0.25">
      <c r="A1075" s="17">
        <v>8306905</v>
      </c>
      <c r="B1075" s="1">
        <v>46057</v>
      </c>
      <c r="C1075">
        <v>18</v>
      </c>
    </row>
    <row r="1076" spans="1:3" x14ac:dyDescent="0.25">
      <c r="A1076" s="17">
        <v>8405468</v>
      </c>
      <c r="B1076" s="1">
        <v>46057</v>
      </c>
      <c r="C1076">
        <v>80</v>
      </c>
    </row>
    <row r="1077" spans="1:3" x14ac:dyDescent="0.25">
      <c r="A1077" s="17">
        <v>8551457</v>
      </c>
      <c r="B1077" s="1">
        <v>46057</v>
      </c>
      <c r="C1077">
        <v>12</v>
      </c>
    </row>
    <row r="1078" spans="1:3" x14ac:dyDescent="0.25">
      <c r="A1078" s="17">
        <v>8860153</v>
      </c>
      <c r="B1078" s="1">
        <v>46057</v>
      </c>
      <c r="C1078">
        <v>3</v>
      </c>
    </row>
    <row r="1079" spans="1:3" x14ac:dyDescent="0.25">
      <c r="A1079" s="17">
        <v>9044404</v>
      </c>
      <c r="B1079" s="1">
        <v>46057</v>
      </c>
      <c r="C1079">
        <v>14</v>
      </c>
    </row>
    <row r="1080" spans="1:3" x14ac:dyDescent="0.25">
      <c r="A1080" s="17">
        <v>9115955</v>
      </c>
      <c r="B1080" s="1">
        <v>46057</v>
      </c>
      <c r="C1080">
        <v>13</v>
      </c>
    </row>
    <row r="1081" spans="1:3" x14ac:dyDescent="0.25">
      <c r="A1081" s="17">
        <v>9292315</v>
      </c>
      <c r="B1081" s="1">
        <v>46057</v>
      </c>
      <c r="C1081">
        <v>48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4D3FD-EC7A-4CDF-8DEE-81A8A19F517D}">
  <dimension ref="A1:I2"/>
  <sheetViews>
    <sheetView workbookViewId="0">
      <selection activeCell="C2" sqref="C2"/>
    </sheetView>
  </sheetViews>
  <sheetFormatPr defaultRowHeight="15" x14ac:dyDescent="0.25"/>
  <cols>
    <col min="1" max="1" width="17.7109375" bestFit="1" customWidth="1"/>
    <col min="2" max="2" width="17.5703125" bestFit="1" customWidth="1"/>
    <col min="3" max="3" width="19.85546875" bestFit="1" customWidth="1"/>
    <col min="4" max="4" width="8.7109375" bestFit="1" customWidth="1"/>
    <col min="5" max="5" width="21.140625" bestFit="1" customWidth="1"/>
    <col min="6" max="6" width="32.5703125" bestFit="1" customWidth="1"/>
    <col min="7" max="7" width="12.28515625" bestFit="1" customWidth="1"/>
    <col min="8" max="8" width="35.7109375" bestFit="1" customWidth="1"/>
    <col min="9" max="9" width="25.7109375" bestFit="1" customWidth="1"/>
  </cols>
  <sheetData>
    <row r="1" spans="1:9" x14ac:dyDescent="0.25">
      <c r="A1" s="14" t="s">
        <v>75</v>
      </c>
      <c r="B1" s="14" t="s">
        <v>32</v>
      </c>
      <c r="C1" s="14" t="s">
        <v>33</v>
      </c>
      <c r="D1" s="14" t="s">
        <v>34</v>
      </c>
      <c r="E1" s="14" t="s">
        <v>56</v>
      </c>
      <c r="F1" s="14" t="s">
        <v>70</v>
      </c>
      <c r="G1" s="14" t="s">
        <v>69</v>
      </c>
      <c r="H1" s="14" t="s">
        <v>71</v>
      </c>
      <c r="I1" s="14" t="s">
        <v>80</v>
      </c>
    </row>
    <row r="2" spans="1:9" x14ac:dyDescent="0.25">
      <c r="A2" s="1">
        <v>46022</v>
      </c>
      <c r="B2" s="1">
        <v>46056</v>
      </c>
      <c r="C2">
        <f>B2-A2+1</f>
        <v>35</v>
      </c>
      <c r="D2" s="1">
        <v>46057</v>
      </c>
      <c r="E2" s="1">
        <v>46062</v>
      </c>
      <c r="F2" s="1">
        <v>46076</v>
      </c>
      <c r="G2">
        <f>tblOrderReportPeriod[[#This Row],[Order Delivery Date]]-tblOrderReportPeriod[[#This Row],[Period End Date]]</f>
        <v>6</v>
      </c>
      <c r="H2">
        <f>tblOrderReportPeriod[[#This Row],[Next Order Delivery Date]]-tblOrderReportPeriod[[#This Row],[Period End Date]]</f>
        <v>20</v>
      </c>
      <c r="I2">
        <f>tblOrderReportPeriod[[#This Row],[Next Order Delivery Date]]-tblOrderReportPeriod[[#This Row],[Order Delivery Date]]</f>
        <v>14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AE9CB-31E3-4EE0-9637-B6FD8837C2D0}">
  <dimension ref="A1:X31"/>
  <sheetViews>
    <sheetView tabSelected="1" topLeftCell="B1" zoomScale="85" zoomScaleNormal="85" workbookViewId="0">
      <pane ySplit="1" topLeftCell="A11" activePane="bottomLeft" state="frozen"/>
      <selection pane="bottomLeft" activeCell="F11" sqref="F11"/>
    </sheetView>
  </sheetViews>
  <sheetFormatPr defaultRowHeight="15" x14ac:dyDescent="0.25"/>
  <cols>
    <col min="1" max="1" width="12" customWidth="1"/>
    <col min="2" max="2" width="11.42578125" customWidth="1"/>
    <col min="3" max="3" width="29" customWidth="1"/>
    <col min="4" max="4" width="21.85546875" customWidth="1"/>
    <col min="5" max="5" width="11.28515625" customWidth="1"/>
    <col min="6" max="6" width="7.140625" bestFit="1" customWidth="1"/>
    <col min="7" max="7" width="12.42578125" bestFit="1" customWidth="1"/>
    <col min="8" max="8" width="8.42578125" bestFit="1" customWidth="1"/>
    <col min="9" max="9" width="7.140625" bestFit="1" customWidth="1"/>
    <col min="10" max="11" width="10.5703125" style="2" bestFit="1" customWidth="1"/>
    <col min="12" max="12" width="14.5703125" style="2" bestFit="1" customWidth="1"/>
    <col min="13" max="13" width="10.5703125" style="2" customWidth="1"/>
    <col min="14" max="14" width="12.7109375" style="5" customWidth="1"/>
    <col min="15" max="15" width="15.5703125" style="5" customWidth="1"/>
    <col min="16" max="16" width="14.5703125" style="5" customWidth="1"/>
    <col min="17" max="17" width="13.140625" style="2" customWidth="1"/>
    <col min="18" max="18" width="14.42578125" style="2" bestFit="1" customWidth="1"/>
    <col min="19" max="19" width="17.85546875" style="2" bestFit="1" customWidth="1"/>
    <col min="20" max="20" width="10.42578125" style="2" bestFit="1" customWidth="1"/>
    <col min="21" max="21" width="8.5703125" style="2" bestFit="1" customWidth="1"/>
    <col min="22" max="22" width="15.5703125" style="2" bestFit="1" customWidth="1"/>
    <col min="23" max="23" width="12.5703125" style="16" bestFit="1" customWidth="1"/>
    <col min="24" max="24" width="12.140625" style="3" bestFit="1" customWidth="1"/>
    <col min="27" max="27" width="15.5703125" bestFit="1" customWidth="1"/>
    <col min="28" max="28" width="29.85546875" bestFit="1" customWidth="1"/>
    <col min="29" max="29" width="5.140625" bestFit="1" customWidth="1"/>
  </cols>
  <sheetData>
    <row r="1" spans="1:24" s="6" customFormat="1" ht="52.5" customHeight="1" x14ac:dyDescent="0.25">
      <c r="A1" s="7" t="s">
        <v>59</v>
      </c>
      <c r="B1" s="7" t="s">
        <v>60</v>
      </c>
      <c r="C1" s="7" t="s">
        <v>61</v>
      </c>
      <c r="D1" s="7" t="s">
        <v>54</v>
      </c>
      <c r="E1" s="7" t="s">
        <v>62</v>
      </c>
      <c r="F1" s="7" t="s">
        <v>63</v>
      </c>
      <c r="G1" s="7" t="s">
        <v>64</v>
      </c>
      <c r="H1" s="10" t="s">
        <v>65</v>
      </c>
      <c r="I1" s="6" t="s">
        <v>66</v>
      </c>
      <c r="J1" s="13" t="s">
        <v>57</v>
      </c>
      <c r="K1" s="13" t="s">
        <v>58</v>
      </c>
      <c r="L1" s="13" t="s">
        <v>76</v>
      </c>
      <c r="M1" s="13" t="s">
        <v>77</v>
      </c>
      <c r="N1" s="8" t="s">
        <v>52</v>
      </c>
      <c r="O1" s="8" t="s">
        <v>68</v>
      </c>
      <c r="P1" s="8" t="s">
        <v>53</v>
      </c>
      <c r="Q1" s="13" t="s">
        <v>79</v>
      </c>
      <c r="R1" s="13" t="s">
        <v>82</v>
      </c>
      <c r="S1" s="13" t="s">
        <v>81</v>
      </c>
      <c r="T1" s="13" t="s">
        <v>72</v>
      </c>
      <c r="U1" s="13" t="s">
        <v>73</v>
      </c>
      <c r="V1" s="13" t="s">
        <v>78</v>
      </c>
      <c r="W1" s="13" t="s">
        <v>74</v>
      </c>
      <c r="X1" s="9" t="s">
        <v>55</v>
      </c>
    </row>
    <row r="2" spans="1:24" x14ac:dyDescent="0.25">
      <c r="A2" s="17">
        <v>9292315</v>
      </c>
      <c r="B2" t="str">
        <f>_xlfn.XLOOKUP(TblOrderRec[[#This Row],[Product ID]],tblProduct[product_id],tblProduct[category])</f>
        <v>candy</v>
      </c>
      <c r="C2" t="str">
        <f>_xlfn.XLOOKUP(TblOrderRec[[#This Row],[Product ID]],tblProduct[product_id],tblProduct[product_name])</f>
        <v>Sour Patch Kids</v>
      </c>
      <c r="D2" t="str">
        <f>IF(LEN(TblOrderRec[[#This Row],[Product]])&gt;15,LEFT(TblOrderRec[[#This Row],[Product]],12)&amp;"…",TblOrderRec[[#This Row],[Product]])</f>
        <v>Sour Patch Kids</v>
      </c>
      <c r="E2">
        <f>_xlfn.XLOOKUP(TblOrderRec[[#This Row],[Product ID]],tblProduct[product_id],tblProduct[purchase_unit_size])</f>
        <v>28</v>
      </c>
      <c r="F2" cm="1">
        <f t="array" ref="F2">_xlfn.XLOOKUP(TblOrderRec[[#This Row],[Product ID]]&amp;tblOrderReportPeriod[Period Start Date],tblInventorySnapshot[product_id]&amp;tblInventorySnapshot[snapshot_date],tblInventorySnapshot[qty_on_hand])</f>
        <v>28</v>
      </c>
      <c r="G2" cm="1">
        <f t="array" ref="G2">SUMIFS(tblPurchases[total_qty_purchased],
tblPurchases[product_id],TblOrderRec[[#This Row],[Product ID]],
tblPurchases[received_date],"&gt;="&amp;tblOrderReportPeriod[Period Start Date],
tblPurchases[received_date],"&lt;="&amp;tblOrderReportPeriod[Period End Date])</f>
        <v>112</v>
      </c>
      <c r="H2" cm="1">
        <f t="array" ref="H2">SUMIFS(tblSales[quantity],
tblSales[product_id],TblOrderRec[[#This Row],[Product ID]],
tblSales[sale_date],"&gt;="&amp;tblOrderReportPeriod[Period Start Date],
tblSales[sale_date],"&lt;="&amp;tblOrderReportPeriod[Period End Date])</f>
        <v>90</v>
      </c>
      <c r="I2">
        <f>TblOrderRec[[#This Row],[Beg QTY]]+TblOrderRec[[#This Row],[Purchased]]-TblOrderRec[[#This Row],[Sold (SORT DESC)]]</f>
        <v>50</v>
      </c>
      <c r="J2" s="2" cm="1">
        <f t="array" ref="J2">TblOrderRec[[#This Row],[Sold (SORT DESC)]]/tblOrderReportPeriod[Total Elapsed Days]</f>
        <v>2.5714285714285716</v>
      </c>
      <c r="K2" s="2">
        <f>TblOrderRec[[#This Row],[Daily Velocity]]*7</f>
        <v>18</v>
      </c>
      <c r="L2" s="4">
        <f>_xlfn.FLOOR.MATH(TblOrderRec[[#This Row],[End QTY]]/TblOrderRec[[#This Row],[Daily Velocity]])</f>
        <v>19</v>
      </c>
      <c r="M2" s="12" cm="1">
        <f t="array" ref="M2">tblOrderReportPeriod[Period End Date]+TblOrderRec[[#This Row],[Current Days of Inventory]]</f>
        <v>46075</v>
      </c>
      <c r="N2" s="15">
        <f>TblOrderRec[[#This Row],[Sold (SORT DESC)]]/SUM(TblOrderRec[Sold (SORT DESC)])</f>
        <v>0.10989010989010989</v>
      </c>
      <c r="O2" s="5">
        <f>SUM($N$2:N2)</f>
        <v>0.10989010989010989</v>
      </c>
      <c r="P2" s="5" t="str" cm="1">
        <f t="array" ref="P2">_xlfn.IFS(TblOrderRec[[#This Row],[Running Total of % of Sales]]&lt;=0.8,"A – Top Sellers",
TblOrderRec[[#This Row],[Running Total of % of Sales]]&lt;=0.95,"B – Mid Sellers",
TRUE,"C – Low Sellers"
)</f>
        <v>A – Top Sellers</v>
      </c>
      <c r="Q2" s="4" cm="1">
        <f t="array" ref="Q2">_xlfn.IFS(
TblOrderRec[[#This Row],[Running Total of % of Sales]]&lt;=0.8, 14+tblOrderReportPeriod[Days Between Deliveries],
TblOrderRec[[#This Row],[Running Total of % of Sales]]&lt;=0.95, 7+tblOrderReportPeriod[Days Between Deliveries],
TRUE,tblOrderReportPeriod[Days Between Deliveries]
)</f>
        <v>28</v>
      </c>
      <c r="R2" s="4" cm="1">
        <f t="array" ref="R2">IF(TblOrderRec[[#This Row],[End QTY]]-_xlfn.CEILING.MATH((tblOrderReportPeriod[Lead Time]*TblOrderRec[[#This Row],[Daily Velocity]]))&gt;=0,TblOrderRec[[#This Row],[End QTY]]-_xlfn.CEILING.MATH((tblOrderReportPeriod[Lead Time]*TblOrderRec[[#This Row],[Daily Velocity]])),0)</f>
        <v>34</v>
      </c>
      <c r="S2" s="4">
        <f>_xlfn.CEILING.MATH(TblOrderRec[[#This Row],[Daily Velocity]]*TblOrderRec[[#This Row],[Target Days of Supply After Delivery]])</f>
        <v>72</v>
      </c>
      <c r="T2" s="4">
        <f>MAX(TblOrderRec[[#This Row],[Target Inventory after Delivery]]-TblOrderRec[[#This Row],[Inventory at Delivery]],0)</f>
        <v>38</v>
      </c>
      <c r="U2" s="4">
        <f>ROUNDUP(TblOrderRec[[#This Row],[Units to Order]]/TblOrderRec[[#This Row],[Purchase Unit Size]],0)</f>
        <v>2</v>
      </c>
      <c r="V2" s="4">
        <f>TblOrderRec[[#This Row],[Inventory at Delivery]]+(TblOrderRec[[#This Row],[Purchase Units to Order]]*TblOrderRec[[#This Row],[Purchase Unit Size]])</f>
        <v>90</v>
      </c>
      <c r="W2" s="11">
        <f>IFERROR(ROUNDDOWN(TblOrderRec[[#This Row],[Projected QTY on Hand after Delivery]]/TblOrderRec[[#This Row],[Daily Velocity]],0),"NULL")</f>
        <v>35</v>
      </c>
      <c r="X2" s="12" cm="1">
        <f t="array" ref="X2">IF(TblOrderRec[[#This Row],[Units to Order]]=0,TblOrderRec[[#This Row],[Current Depletion Date]],tblOrderReportPeriod[Order Delivery Date]+TblOrderRec[[#This Row],[Projected Days Until Depleted]])</f>
        <v>46097</v>
      </c>
    </row>
    <row r="3" spans="1:24" x14ac:dyDescent="0.25">
      <c r="A3" s="17">
        <v>1711217</v>
      </c>
      <c r="B3" t="str">
        <f>_xlfn.XLOOKUP(TblOrderRec[[#This Row],[Product ID]],tblProduct[product_id],tblProduct[category])</f>
        <v>snack</v>
      </c>
      <c r="C3" t="str">
        <f>_xlfn.XLOOKUP(TblOrderRec[[#This Row],[Product ID]],tblProduct[product_id],tblProduct[product_name])</f>
        <v>Ruffles Cheddar &amp; Sour Cream</v>
      </c>
      <c r="D3" t="str">
        <f>IF(LEN(TblOrderRec[[#This Row],[Product]])&gt;15,LEFT(TblOrderRec[[#This Row],[Product]],12)&amp;"…",TblOrderRec[[#This Row],[Product]])</f>
        <v>Ruffles Ched…</v>
      </c>
      <c r="E3">
        <f>_xlfn.XLOOKUP(TblOrderRec[[#This Row],[Product ID]],tblProduct[product_id],tblProduct[purchase_unit_size])</f>
        <v>24</v>
      </c>
      <c r="F3" cm="1">
        <f t="array" ref="F3">_xlfn.XLOOKUP(TblOrderRec[[#This Row],[Product ID]]&amp;tblOrderReportPeriod[Period Start Date],tblInventorySnapshot[product_id]&amp;tblInventorySnapshot[snapshot_date],tblInventorySnapshot[qty_on_hand])</f>
        <v>26</v>
      </c>
      <c r="G3" cm="1">
        <f t="array" ref="G3">SUMIFS(tblPurchases[total_qty_purchased],
tblPurchases[product_id],TblOrderRec[[#This Row],[Product ID]],
tblPurchases[received_date],"&gt;="&amp;tblOrderReportPeriod[Period Start Date],
tblPurchases[received_date],"&lt;="&amp;tblOrderReportPeriod[Period End Date])</f>
        <v>96</v>
      </c>
      <c r="H3" cm="1">
        <f t="array" ref="H3">SUMIFS(tblSales[quantity],
tblSales[product_id],TblOrderRec[[#This Row],[Product ID]],
tblSales[sale_date],"&gt;="&amp;tblOrderReportPeriod[Period Start Date],
tblSales[sale_date],"&lt;="&amp;tblOrderReportPeriod[Period End Date])</f>
        <v>87</v>
      </c>
      <c r="I3">
        <f>TblOrderRec[[#This Row],[Beg QTY]]+TblOrderRec[[#This Row],[Purchased]]-TblOrderRec[[#This Row],[Sold (SORT DESC)]]</f>
        <v>35</v>
      </c>
      <c r="J3" s="2" cm="1">
        <f t="array" ref="J3">TblOrderRec[[#This Row],[Sold (SORT DESC)]]/tblOrderReportPeriod[Total Elapsed Days]</f>
        <v>2.4857142857142858</v>
      </c>
      <c r="K3" s="2">
        <f>TblOrderRec[[#This Row],[Daily Velocity]]*7</f>
        <v>17.399999999999999</v>
      </c>
      <c r="L3" s="4">
        <f>_xlfn.FLOOR.MATH(TblOrderRec[[#This Row],[End QTY]]/TblOrderRec[[#This Row],[Daily Velocity]])</f>
        <v>14</v>
      </c>
      <c r="M3" s="12" cm="1">
        <f t="array" ref="M3">tblOrderReportPeriod[Period End Date]+TblOrderRec[[#This Row],[Current Days of Inventory]]</f>
        <v>46070</v>
      </c>
      <c r="N3" s="15">
        <f>TblOrderRec[[#This Row],[Sold (SORT DESC)]]/SUM(TblOrderRec[Sold (SORT DESC)])</f>
        <v>0.10622710622710622</v>
      </c>
      <c r="O3" s="5">
        <f>SUM($N$2:N3)</f>
        <v>0.21611721611721613</v>
      </c>
      <c r="P3" s="5" t="str" cm="1">
        <f t="array" ref="P3">_xlfn.IFS(TblOrderRec[[#This Row],[Running Total of % of Sales]]&lt;=0.8,"A – Top Sellers",
TblOrderRec[[#This Row],[Running Total of % of Sales]]&lt;=0.95,"B – Mid Sellers",
TRUE,"C – Low Sellers"
)</f>
        <v>A – Top Sellers</v>
      </c>
      <c r="Q3" s="4" cm="1">
        <f t="array" ref="Q3">_xlfn.IFS(
TblOrderRec[[#This Row],[Running Total of % of Sales]]&lt;=0.8, 14+tblOrderReportPeriod[Days Between Deliveries],
TblOrderRec[[#This Row],[Running Total of % of Sales]]&lt;=0.95, 7+tblOrderReportPeriod[Days Between Deliveries],
TRUE,tblOrderReportPeriod[Days Between Deliveries]
)</f>
        <v>28</v>
      </c>
      <c r="R3" s="4" cm="1">
        <f t="array" ref="R3">IF(TblOrderRec[[#This Row],[End QTY]]-_xlfn.CEILING.MATH((tblOrderReportPeriod[Lead Time]*TblOrderRec[[#This Row],[Daily Velocity]]))&gt;=0,TblOrderRec[[#This Row],[End QTY]]-_xlfn.CEILING.MATH((tblOrderReportPeriod[Lead Time]*TblOrderRec[[#This Row],[Daily Velocity]])),0)</f>
        <v>20</v>
      </c>
      <c r="S3" s="4">
        <f>_xlfn.CEILING.MATH(TblOrderRec[[#This Row],[Daily Velocity]]*TblOrderRec[[#This Row],[Target Days of Supply After Delivery]])</f>
        <v>70</v>
      </c>
      <c r="T3" s="4">
        <f>MAX(TblOrderRec[[#This Row],[Target Inventory after Delivery]]-TblOrderRec[[#This Row],[Inventory at Delivery]],0)</f>
        <v>50</v>
      </c>
      <c r="U3" s="4">
        <f>ROUNDUP(TblOrderRec[[#This Row],[Units to Order]]/TblOrderRec[[#This Row],[Purchase Unit Size]],0)</f>
        <v>3</v>
      </c>
      <c r="V3" s="4">
        <f>TblOrderRec[[#This Row],[Inventory at Delivery]]+(TblOrderRec[[#This Row],[Purchase Units to Order]]*TblOrderRec[[#This Row],[Purchase Unit Size]])</f>
        <v>92</v>
      </c>
      <c r="W3" s="11">
        <f>IFERROR(ROUNDDOWN(TblOrderRec[[#This Row],[Projected QTY on Hand after Delivery]]/TblOrderRec[[#This Row],[Daily Velocity]],0),"NULL")</f>
        <v>37</v>
      </c>
      <c r="X3" s="12" cm="1">
        <f t="array" ref="X3">IF(TblOrderRec[[#This Row],[Units to Order]]=0,TblOrderRec[[#This Row],[Current Depletion Date]],tblOrderReportPeriod[Order Delivery Date]+TblOrderRec[[#This Row],[Projected Days Until Depleted]])</f>
        <v>46099</v>
      </c>
    </row>
    <row r="4" spans="1:24" x14ac:dyDescent="0.25">
      <c r="A4" s="17">
        <v>1088638</v>
      </c>
      <c r="B4" t="str">
        <f>_xlfn.XLOOKUP(TblOrderRec[[#This Row],[Product ID]],tblProduct[product_id],tblProduct[category])</f>
        <v>snack</v>
      </c>
      <c r="C4" t="str">
        <f>_xlfn.XLOOKUP(TblOrderRec[[#This Row],[Product ID]],tblProduct[product_id],tblProduct[product_name])</f>
        <v>Protein Bar</v>
      </c>
      <c r="D4" t="str">
        <f>IF(LEN(TblOrderRec[[#This Row],[Product]])&gt;15,LEFT(TblOrderRec[[#This Row],[Product]],12)&amp;"…",TblOrderRec[[#This Row],[Product]])</f>
        <v>Protein Bar</v>
      </c>
      <c r="E4">
        <f>_xlfn.XLOOKUP(TblOrderRec[[#This Row],[Product ID]],tblProduct[product_id],tblProduct[purchase_unit_size])</f>
        <v>24</v>
      </c>
      <c r="F4" cm="1">
        <f t="array" ref="F4">_xlfn.XLOOKUP(TblOrderRec[[#This Row],[Product ID]]&amp;tblOrderReportPeriod[Period Start Date],tblInventorySnapshot[product_id]&amp;tblInventorySnapshot[snapshot_date],tblInventorySnapshot[qty_on_hand])</f>
        <v>30</v>
      </c>
      <c r="G4" cm="1">
        <f t="array" ref="G4">SUMIFS(tblPurchases[total_qty_purchased],
tblPurchases[product_id],TblOrderRec[[#This Row],[Product ID]],
tblPurchases[received_date],"&gt;="&amp;tblOrderReportPeriod[Period Start Date],
tblPurchases[received_date],"&lt;="&amp;tblOrderReportPeriod[Period End Date])</f>
        <v>72</v>
      </c>
      <c r="H4" cm="1">
        <f t="array" ref="H4">SUMIFS(tblSales[quantity],
tblSales[product_id],TblOrderRec[[#This Row],[Product ID]],
tblSales[sale_date],"&gt;="&amp;tblOrderReportPeriod[Period Start Date],
tblSales[sale_date],"&lt;="&amp;tblOrderReportPeriod[Period End Date])</f>
        <v>79</v>
      </c>
      <c r="I4">
        <f>TblOrderRec[[#This Row],[Beg QTY]]+TblOrderRec[[#This Row],[Purchased]]-TblOrderRec[[#This Row],[Sold (SORT DESC)]]</f>
        <v>23</v>
      </c>
      <c r="J4" s="2" cm="1">
        <f t="array" ref="J4">TblOrderRec[[#This Row],[Sold (SORT DESC)]]/tblOrderReportPeriod[Total Elapsed Days]</f>
        <v>2.2571428571428571</v>
      </c>
      <c r="K4" s="2">
        <f>TblOrderRec[[#This Row],[Daily Velocity]]*7</f>
        <v>15.8</v>
      </c>
      <c r="L4" s="4">
        <f>_xlfn.FLOOR.MATH(TblOrderRec[[#This Row],[End QTY]]/TblOrderRec[[#This Row],[Daily Velocity]])</f>
        <v>10</v>
      </c>
      <c r="M4" s="12" cm="1">
        <f t="array" ref="M4">tblOrderReportPeriod[Period End Date]+TblOrderRec[[#This Row],[Current Days of Inventory]]</f>
        <v>46066</v>
      </c>
      <c r="N4" s="15">
        <f>TblOrderRec[[#This Row],[Sold (SORT DESC)]]/SUM(TblOrderRec[Sold (SORT DESC)])</f>
        <v>9.6459096459096463E-2</v>
      </c>
      <c r="O4" s="5">
        <f>SUM($N$2:N4)</f>
        <v>0.31257631257631258</v>
      </c>
      <c r="P4" s="5" t="str" cm="1">
        <f t="array" ref="P4">_xlfn.IFS(TblOrderRec[[#This Row],[Running Total of % of Sales]]&lt;=0.8,"A – Top Sellers",
TblOrderRec[[#This Row],[Running Total of % of Sales]]&lt;=0.95,"B – Mid Sellers",
TRUE,"C – Low Sellers"
)</f>
        <v>A – Top Sellers</v>
      </c>
      <c r="Q4" s="4" cm="1">
        <f t="array" ref="Q4">_xlfn.IFS(
TblOrderRec[[#This Row],[Running Total of % of Sales]]&lt;=0.8, 14+tblOrderReportPeriod[Days Between Deliveries],
TblOrderRec[[#This Row],[Running Total of % of Sales]]&lt;=0.95, 7+tblOrderReportPeriod[Days Between Deliveries],
TRUE,tblOrderReportPeriod[Days Between Deliveries]
)</f>
        <v>28</v>
      </c>
      <c r="R4" s="4" cm="1">
        <f t="array" ref="R4">IF(TblOrderRec[[#This Row],[End QTY]]-_xlfn.CEILING.MATH((tblOrderReportPeriod[Lead Time]*TblOrderRec[[#This Row],[Daily Velocity]]))&gt;=0,TblOrderRec[[#This Row],[End QTY]]-_xlfn.CEILING.MATH((tblOrderReportPeriod[Lead Time]*TblOrderRec[[#This Row],[Daily Velocity]])),0)</f>
        <v>9</v>
      </c>
      <c r="S4" s="4">
        <f>_xlfn.CEILING.MATH(TblOrderRec[[#This Row],[Daily Velocity]]*TblOrderRec[[#This Row],[Target Days of Supply After Delivery]])</f>
        <v>64</v>
      </c>
      <c r="T4" s="4">
        <f>MAX(TblOrderRec[[#This Row],[Target Inventory after Delivery]]-TblOrderRec[[#This Row],[Inventory at Delivery]],0)</f>
        <v>55</v>
      </c>
      <c r="U4" s="4">
        <f>ROUNDUP(TblOrderRec[[#This Row],[Units to Order]]/TblOrderRec[[#This Row],[Purchase Unit Size]],0)</f>
        <v>3</v>
      </c>
      <c r="V4" s="4">
        <f>TblOrderRec[[#This Row],[Inventory at Delivery]]+(TblOrderRec[[#This Row],[Purchase Units to Order]]*TblOrderRec[[#This Row],[Purchase Unit Size]])</f>
        <v>81</v>
      </c>
      <c r="W4" s="11">
        <f>IFERROR(ROUNDDOWN(TblOrderRec[[#This Row],[Projected QTY on Hand after Delivery]]/TblOrderRec[[#This Row],[Daily Velocity]],0),"NULL")</f>
        <v>35</v>
      </c>
      <c r="X4" s="12" cm="1">
        <f t="array" ref="X4">IF(TblOrderRec[[#This Row],[Units to Order]]=0,TblOrderRec[[#This Row],[Current Depletion Date]],tblOrderReportPeriod[Order Delivery Date]+TblOrderRec[[#This Row],[Projected Days Until Depleted]])</f>
        <v>46097</v>
      </c>
    </row>
    <row r="5" spans="1:24" x14ac:dyDescent="0.25">
      <c r="A5" s="17">
        <v>2732499</v>
      </c>
      <c r="B5" t="str">
        <f>_xlfn.XLOOKUP(TblOrderRec[[#This Row],[Product ID]],tblProduct[product_id],tblProduct[category])</f>
        <v>snack</v>
      </c>
      <c r="C5" t="str">
        <f>_xlfn.XLOOKUP(TblOrderRec[[#This Row],[Product ID]],tblProduct[product_id],tblProduct[product_name])</f>
        <v>Ritz Crackers Snack Pack</v>
      </c>
      <c r="D5" t="str">
        <f>IF(LEN(TblOrderRec[[#This Row],[Product]])&gt;15,LEFT(TblOrderRec[[#This Row],[Product]],12)&amp;"…",TblOrderRec[[#This Row],[Product]])</f>
        <v>Ritz Cracker…</v>
      </c>
      <c r="E5">
        <f>_xlfn.XLOOKUP(TblOrderRec[[#This Row],[Product ID]],tblProduct[product_id],tblProduct[purchase_unit_size])</f>
        <v>24</v>
      </c>
      <c r="F5" cm="1">
        <f t="array" ref="F5">_xlfn.XLOOKUP(TblOrderRec[[#This Row],[Product ID]]&amp;tblOrderReportPeriod[Period Start Date],tblInventorySnapshot[product_id]&amp;tblInventorySnapshot[snapshot_date],tblInventorySnapshot[qty_on_hand])</f>
        <v>16</v>
      </c>
      <c r="G5" cm="1">
        <f t="array" ref="G5">SUMIFS(tblPurchases[total_qty_purchased],
tblPurchases[product_id],TblOrderRec[[#This Row],[Product ID]],
tblPurchases[received_date],"&gt;="&amp;tblOrderReportPeriod[Period Start Date],
tblPurchases[received_date],"&lt;="&amp;tblOrderReportPeriod[Period End Date])</f>
        <v>72</v>
      </c>
      <c r="H5" cm="1">
        <f t="array" ref="H5">SUMIFS(tblSales[quantity],
tblSales[product_id],TblOrderRec[[#This Row],[Product ID]],
tblSales[sale_date],"&gt;="&amp;tblOrderReportPeriod[Period Start Date],
tblSales[sale_date],"&lt;="&amp;tblOrderReportPeriod[Period End Date])</f>
        <v>68</v>
      </c>
      <c r="I5">
        <f>TblOrderRec[[#This Row],[Beg QTY]]+TblOrderRec[[#This Row],[Purchased]]-TblOrderRec[[#This Row],[Sold (SORT DESC)]]</f>
        <v>20</v>
      </c>
      <c r="J5" s="2" cm="1">
        <f t="array" ref="J5">TblOrderRec[[#This Row],[Sold (SORT DESC)]]/tblOrderReportPeriod[Total Elapsed Days]</f>
        <v>1.9428571428571428</v>
      </c>
      <c r="K5" s="2">
        <f>TblOrderRec[[#This Row],[Daily Velocity]]*7</f>
        <v>13.6</v>
      </c>
      <c r="L5" s="4">
        <f>_xlfn.FLOOR.MATH(TblOrderRec[[#This Row],[End QTY]]/TblOrderRec[[#This Row],[Daily Velocity]])</f>
        <v>10</v>
      </c>
      <c r="M5" s="12" cm="1">
        <f t="array" ref="M5">tblOrderReportPeriod[Period End Date]+TblOrderRec[[#This Row],[Current Days of Inventory]]</f>
        <v>46066</v>
      </c>
      <c r="N5" s="15">
        <f>TblOrderRec[[#This Row],[Sold (SORT DESC)]]/SUM(TblOrderRec[Sold (SORT DESC)])</f>
        <v>8.3028083028083025E-2</v>
      </c>
      <c r="O5" s="5">
        <f>SUM($N$2:N5)</f>
        <v>0.39560439560439559</v>
      </c>
      <c r="P5" s="5" t="str" cm="1">
        <f t="array" ref="P5">_xlfn.IFS(TblOrderRec[[#This Row],[Running Total of % of Sales]]&lt;=0.8,"A – Top Sellers",
TblOrderRec[[#This Row],[Running Total of % of Sales]]&lt;=0.95,"B – Mid Sellers",
TRUE,"C – Low Sellers"
)</f>
        <v>A – Top Sellers</v>
      </c>
      <c r="Q5" s="4" cm="1">
        <f t="array" ref="Q5">_xlfn.IFS(
TblOrderRec[[#This Row],[Running Total of % of Sales]]&lt;=0.8, 14+tblOrderReportPeriod[Days Between Deliveries],
TblOrderRec[[#This Row],[Running Total of % of Sales]]&lt;=0.95, 7+tblOrderReportPeriod[Days Between Deliveries],
TRUE,tblOrderReportPeriod[Days Between Deliveries]
)</f>
        <v>28</v>
      </c>
      <c r="R5" s="4" cm="1">
        <f t="array" ref="R5">IF(TblOrderRec[[#This Row],[End QTY]]-_xlfn.CEILING.MATH((tblOrderReportPeriod[Lead Time]*TblOrderRec[[#This Row],[Daily Velocity]]))&gt;=0,TblOrderRec[[#This Row],[End QTY]]-_xlfn.CEILING.MATH((tblOrderReportPeriod[Lead Time]*TblOrderRec[[#This Row],[Daily Velocity]])),0)</f>
        <v>8</v>
      </c>
      <c r="S5" s="4">
        <f>_xlfn.CEILING.MATH(TblOrderRec[[#This Row],[Daily Velocity]]*TblOrderRec[[#This Row],[Target Days of Supply After Delivery]])</f>
        <v>55</v>
      </c>
      <c r="T5" s="4">
        <f>MAX(TblOrderRec[[#This Row],[Target Inventory after Delivery]]-TblOrderRec[[#This Row],[Inventory at Delivery]],0)</f>
        <v>47</v>
      </c>
      <c r="U5" s="4">
        <f>ROUNDUP(TblOrderRec[[#This Row],[Units to Order]]/TblOrderRec[[#This Row],[Purchase Unit Size]],0)</f>
        <v>2</v>
      </c>
      <c r="V5" s="4">
        <f>TblOrderRec[[#This Row],[Inventory at Delivery]]+(TblOrderRec[[#This Row],[Purchase Units to Order]]*TblOrderRec[[#This Row],[Purchase Unit Size]])</f>
        <v>56</v>
      </c>
      <c r="W5" s="11">
        <f>IFERROR(ROUNDDOWN(TblOrderRec[[#This Row],[Projected QTY on Hand after Delivery]]/TblOrderRec[[#This Row],[Daily Velocity]],0),"NULL")</f>
        <v>28</v>
      </c>
      <c r="X5" s="12" cm="1">
        <f t="array" ref="X5">IF(TblOrderRec[[#This Row],[Units to Order]]=0,TblOrderRec[[#This Row],[Current Depletion Date]],tblOrderReportPeriod[Order Delivery Date]+TblOrderRec[[#This Row],[Projected Days Until Depleted]])</f>
        <v>46090</v>
      </c>
    </row>
    <row r="6" spans="1:24" x14ac:dyDescent="0.25">
      <c r="A6" s="17">
        <v>1253167</v>
      </c>
      <c r="B6" t="str">
        <f>_xlfn.XLOOKUP(TblOrderRec[[#This Row],[Product ID]],tblProduct[product_id],tblProduct[category])</f>
        <v>snack</v>
      </c>
      <c r="C6" t="str">
        <f>_xlfn.XLOOKUP(TblOrderRec[[#This Row],[Product ID]],tblProduct[product_id],tblProduct[product_name])</f>
        <v>Lay's Classic Potato Chips</v>
      </c>
      <c r="D6" t="str">
        <f>IF(LEN(TblOrderRec[[#This Row],[Product]])&gt;15,LEFT(TblOrderRec[[#This Row],[Product]],12)&amp;"…",TblOrderRec[[#This Row],[Product]])</f>
        <v>Lay's Classi…</v>
      </c>
      <c r="E6">
        <f>_xlfn.XLOOKUP(TblOrderRec[[#This Row],[Product ID]],tblProduct[product_id],tblProduct[purchase_unit_size])</f>
        <v>24</v>
      </c>
      <c r="F6" cm="1">
        <f t="array" ref="F6">_xlfn.XLOOKUP(TblOrderRec[[#This Row],[Product ID]]&amp;tblOrderReportPeriod[Period Start Date],tblInventorySnapshot[product_id]&amp;tblInventorySnapshot[snapshot_date],tblInventorySnapshot[qty_on_hand])</f>
        <v>12</v>
      </c>
      <c r="G6" cm="1">
        <f t="array" ref="G6">SUMIFS(tblPurchases[total_qty_purchased],
tblPurchases[product_id],TblOrderRec[[#This Row],[Product ID]],
tblPurchases[received_date],"&gt;="&amp;tblOrderReportPeriod[Period Start Date],
tblPurchases[received_date],"&lt;="&amp;tblOrderReportPeriod[Period End Date])</f>
        <v>96</v>
      </c>
      <c r="H6" cm="1">
        <f t="array" ref="H6">SUMIFS(tblSales[quantity],
tblSales[product_id],TblOrderRec[[#This Row],[Product ID]],
tblSales[sale_date],"&gt;="&amp;tblOrderReportPeriod[Period Start Date],
tblSales[sale_date],"&lt;="&amp;tblOrderReportPeriod[Period End Date])</f>
        <v>62</v>
      </c>
      <c r="I6">
        <f>TblOrderRec[[#This Row],[Beg QTY]]+TblOrderRec[[#This Row],[Purchased]]-TblOrderRec[[#This Row],[Sold (SORT DESC)]]</f>
        <v>46</v>
      </c>
      <c r="J6" s="2" cm="1">
        <f t="array" ref="J6">TblOrderRec[[#This Row],[Sold (SORT DESC)]]/tblOrderReportPeriod[Total Elapsed Days]</f>
        <v>1.7714285714285714</v>
      </c>
      <c r="K6" s="2">
        <f>TblOrderRec[[#This Row],[Daily Velocity]]*7</f>
        <v>12.399999999999999</v>
      </c>
      <c r="L6" s="4">
        <f>_xlfn.FLOOR.MATH(TblOrderRec[[#This Row],[End QTY]]/TblOrderRec[[#This Row],[Daily Velocity]])</f>
        <v>25</v>
      </c>
      <c r="M6" s="12" cm="1">
        <f t="array" ref="M6">tblOrderReportPeriod[Period End Date]+TblOrderRec[[#This Row],[Current Days of Inventory]]</f>
        <v>46081</v>
      </c>
      <c r="N6" s="15">
        <f>TblOrderRec[[#This Row],[Sold (SORT DESC)]]/SUM(TblOrderRec[Sold (SORT DESC)])</f>
        <v>7.5702075702075697E-2</v>
      </c>
      <c r="O6" s="5">
        <f>SUM($N$2:N6)</f>
        <v>0.4713064713064713</v>
      </c>
      <c r="P6" s="5" t="str" cm="1">
        <f t="array" ref="P6">_xlfn.IFS(TblOrderRec[[#This Row],[Running Total of % of Sales]]&lt;=0.8,"A – Top Sellers",
TblOrderRec[[#This Row],[Running Total of % of Sales]]&lt;=0.95,"B – Mid Sellers",
TRUE,"C – Low Sellers"
)</f>
        <v>A – Top Sellers</v>
      </c>
      <c r="Q6" s="4" cm="1">
        <f t="array" ref="Q6">_xlfn.IFS(
TblOrderRec[[#This Row],[Running Total of % of Sales]]&lt;=0.8, 14+tblOrderReportPeriod[Days Between Deliveries],
TblOrderRec[[#This Row],[Running Total of % of Sales]]&lt;=0.95, 7+tblOrderReportPeriod[Days Between Deliveries],
TRUE,tblOrderReportPeriod[Days Between Deliveries]
)</f>
        <v>28</v>
      </c>
      <c r="R6" s="4" cm="1">
        <f t="array" ref="R6">IF(TblOrderRec[[#This Row],[End QTY]]-_xlfn.CEILING.MATH((tblOrderReportPeriod[Lead Time]*TblOrderRec[[#This Row],[Daily Velocity]]))&gt;=0,TblOrderRec[[#This Row],[End QTY]]-_xlfn.CEILING.MATH((tblOrderReportPeriod[Lead Time]*TblOrderRec[[#This Row],[Daily Velocity]])),0)</f>
        <v>35</v>
      </c>
      <c r="S6" s="4">
        <f>_xlfn.CEILING.MATH(TblOrderRec[[#This Row],[Daily Velocity]]*TblOrderRec[[#This Row],[Target Days of Supply After Delivery]])</f>
        <v>50</v>
      </c>
      <c r="T6" s="4">
        <f>MAX(TblOrderRec[[#This Row],[Target Inventory after Delivery]]-TblOrderRec[[#This Row],[Inventory at Delivery]],0)</f>
        <v>15</v>
      </c>
      <c r="U6" s="4">
        <f>ROUNDUP(TblOrderRec[[#This Row],[Units to Order]]/TblOrderRec[[#This Row],[Purchase Unit Size]],0)</f>
        <v>1</v>
      </c>
      <c r="V6" s="4">
        <f>TblOrderRec[[#This Row],[Inventory at Delivery]]+(TblOrderRec[[#This Row],[Purchase Units to Order]]*TblOrderRec[[#This Row],[Purchase Unit Size]])</f>
        <v>59</v>
      </c>
      <c r="W6" s="11">
        <f>IFERROR(ROUNDDOWN(TblOrderRec[[#This Row],[Projected QTY on Hand after Delivery]]/TblOrderRec[[#This Row],[Daily Velocity]],0),"NULL")</f>
        <v>33</v>
      </c>
      <c r="X6" s="12" cm="1">
        <f t="array" ref="X6">IF(TblOrderRec[[#This Row],[Units to Order]]=0,TblOrderRec[[#This Row],[Current Depletion Date]],tblOrderReportPeriod[Order Delivery Date]+TblOrderRec[[#This Row],[Projected Days Until Depleted]])</f>
        <v>46095</v>
      </c>
    </row>
    <row r="7" spans="1:24" x14ac:dyDescent="0.25">
      <c r="A7" s="17">
        <v>7023463</v>
      </c>
      <c r="B7" t="str">
        <f>_xlfn.XLOOKUP(TblOrderRec[[#This Row],[Product ID]],tblProduct[product_id],tblProduct[category])</f>
        <v>snack</v>
      </c>
      <c r="C7" t="str">
        <f>_xlfn.XLOOKUP(TblOrderRec[[#This Row],[Product ID]],tblProduct[product_id],tblProduct[product_name])</f>
        <v>Trail Mix</v>
      </c>
      <c r="D7" t="str">
        <f>IF(LEN(TblOrderRec[[#This Row],[Product]])&gt;15,LEFT(TblOrderRec[[#This Row],[Product]],12)&amp;"…",TblOrderRec[[#This Row],[Product]])</f>
        <v>Trail Mix</v>
      </c>
      <c r="E7">
        <f>_xlfn.XLOOKUP(TblOrderRec[[#This Row],[Product ID]],tblProduct[product_id],tblProduct[purchase_unit_size])</f>
        <v>24</v>
      </c>
      <c r="F7" cm="1">
        <f t="array" ref="F7">_xlfn.XLOOKUP(TblOrderRec[[#This Row],[Product ID]]&amp;tblOrderReportPeriod[Period Start Date],tblInventorySnapshot[product_id]&amp;tblInventorySnapshot[snapshot_date],tblInventorySnapshot[qty_on_hand])</f>
        <v>15</v>
      </c>
      <c r="G7" cm="1">
        <f t="array" ref="G7">SUMIFS(tblPurchases[total_qty_purchased],
tblPurchases[product_id],TblOrderRec[[#This Row],[Product ID]],
tblPurchases[received_date],"&gt;="&amp;tblOrderReportPeriod[Period Start Date],
tblPurchases[received_date],"&lt;="&amp;tblOrderReportPeriod[Period End Date])</f>
        <v>48</v>
      </c>
      <c r="H7" cm="1">
        <f t="array" ref="H7">SUMIFS(tblSales[quantity],
tblSales[product_id],TblOrderRec[[#This Row],[Product ID]],
tblSales[sale_date],"&gt;="&amp;tblOrderReportPeriod[Period Start Date],
tblSales[sale_date],"&lt;="&amp;tblOrderReportPeriod[Period End Date])</f>
        <v>52</v>
      </c>
      <c r="I7">
        <f>TblOrderRec[[#This Row],[Beg QTY]]+TblOrderRec[[#This Row],[Purchased]]-TblOrderRec[[#This Row],[Sold (SORT DESC)]]</f>
        <v>11</v>
      </c>
      <c r="J7" s="2" cm="1">
        <f t="array" ref="J7">TblOrderRec[[#This Row],[Sold (SORT DESC)]]/tblOrderReportPeriod[Total Elapsed Days]</f>
        <v>1.4857142857142858</v>
      </c>
      <c r="K7" s="2">
        <f>TblOrderRec[[#This Row],[Daily Velocity]]*7</f>
        <v>10.4</v>
      </c>
      <c r="L7" s="4">
        <f>_xlfn.FLOOR.MATH(TblOrderRec[[#This Row],[End QTY]]/TblOrderRec[[#This Row],[Daily Velocity]])</f>
        <v>7</v>
      </c>
      <c r="M7" s="12" cm="1">
        <f t="array" ref="M7">tblOrderReportPeriod[Period End Date]+TblOrderRec[[#This Row],[Current Days of Inventory]]</f>
        <v>46063</v>
      </c>
      <c r="N7" s="15">
        <f>TblOrderRec[[#This Row],[Sold (SORT DESC)]]/SUM(TblOrderRec[Sold (SORT DESC)])</f>
        <v>6.3492063492063489E-2</v>
      </c>
      <c r="O7" s="5">
        <f>SUM($N$2:N7)</f>
        <v>0.53479853479853479</v>
      </c>
      <c r="P7" s="5" t="str" cm="1">
        <f t="array" ref="P7">_xlfn.IFS(TblOrderRec[[#This Row],[Running Total of % of Sales]]&lt;=0.8,"A – Top Sellers",
TblOrderRec[[#This Row],[Running Total of % of Sales]]&lt;=0.95,"B – Mid Sellers",
TRUE,"C – Low Sellers"
)</f>
        <v>A – Top Sellers</v>
      </c>
      <c r="Q7" s="4" cm="1">
        <f t="array" ref="Q7">_xlfn.IFS(
TblOrderRec[[#This Row],[Running Total of % of Sales]]&lt;=0.8, 14+tblOrderReportPeriod[Days Between Deliveries],
TblOrderRec[[#This Row],[Running Total of % of Sales]]&lt;=0.95, 7+tblOrderReportPeriod[Days Between Deliveries],
TRUE,tblOrderReportPeriod[Days Between Deliveries]
)</f>
        <v>28</v>
      </c>
      <c r="R7" s="4" cm="1">
        <f t="array" ref="R7">IF(TblOrderRec[[#This Row],[End QTY]]-_xlfn.CEILING.MATH((tblOrderReportPeriod[Lead Time]*TblOrderRec[[#This Row],[Daily Velocity]]))&gt;=0,TblOrderRec[[#This Row],[End QTY]]-_xlfn.CEILING.MATH((tblOrderReportPeriod[Lead Time]*TblOrderRec[[#This Row],[Daily Velocity]])),0)</f>
        <v>2</v>
      </c>
      <c r="S7" s="4">
        <f>_xlfn.CEILING.MATH(TblOrderRec[[#This Row],[Daily Velocity]]*TblOrderRec[[#This Row],[Target Days of Supply After Delivery]])</f>
        <v>42</v>
      </c>
      <c r="T7" s="4">
        <f>MAX(TblOrderRec[[#This Row],[Target Inventory after Delivery]]-TblOrderRec[[#This Row],[Inventory at Delivery]],0)</f>
        <v>40</v>
      </c>
      <c r="U7" s="4">
        <f>ROUNDUP(TblOrderRec[[#This Row],[Units to Order]]/TblOrderRec[[#This Row],[Purchase Unit Size]],0)</f>
        <v>2</v>
      </c>
      <c r="V7" s="4">
        <f>TblOrderRec[[#This Row],[Inventory at Delivery]]+(TblOrderRec[[#This Row],[Purchase Units to Order]]*TblOrderRec[[#This Row],[Purchase Unit Size]])</f>
        <v>50</v>
      </c>
      <c r="W7" s="11">
        <f>IFERROR(ROUNDDOWN(TblOrderRec[[#This Row],[Projected QTY on Hand after Delivery]]/TblOrderRec[[#This Row],[Daily Velocity]],0),"NULL")</f>
        <v>33</v>
      </c>
      <c r="X7" s="12" cm="1">
        <f t="array" ref="X7">IF(TblOrderRec[[#This Row],[Units to Order]]=0,TblOrderRec[[#This Row],[Current Depletion Date]],tblOrderReportPeriod[Order Delivery Date]+TblOrderRec[[#This Row],[Projected Days Until Depleted]])</f>
        <v>46095</v>
      </c>
    </row>
    <row r="8" spans="1:24" x14ac:dyDescent="0.25">
      <c r="A8" s="17">
        <v>8405468</v>
      </c>
      <c r="B8" t="str">
        <f>_xlfn.XLOOKUP(TblOrderRec[[#This Row],[Product ID]],tblProduct[product_id],tblProduct[category])</f>
        <v>candy</v>
      </c>
      <c r="C8" t="str">
        <f>_xlfn.XLOOKUP(TblOrderRec[[#This Row],[Product ID]],tblProduct[product_id],tblProduct[product_name])</f>
        <v>Nerds</v>
      </c>
      <c r="D8" t="str">
        <f>IF(LEN(TblOrderRec[[#This Row],[Product]])&gt;15,LEFT(TblOrderRec[[#This Row],[Product]],12)&amp;"…",TblOrderRec[[#This Row],[Product]])</f>
        <v>Nerds</v>
      </c>
      <c r="E8">
        <f>_xlfn.XLOOKUP(TblOrderRec[[#This Row],[Product ID]],tblProduct[product_id],tblProduct[purchase_unit_size])</f>
        <v>28</v>
      </c>
      <c r="F8" cm="1">
        <f t="array" ref="F8">_xlfn.XLOOKUP(TblOrderRec[[#This Row],[Product ID]]&amp;tblOrderReportPeriod[Period Start Date],tblInventorySnapshot[product_id]&amp;tblInventorySnapshot[snapshot_date],tblInventorySnapshot[qty_on_hand])</f>
        <v>15</v>
      </c>
      <c r="G8" cm="1">
        <f t="array" ref="G8">SUMIFS(tblPurchases[total_qty_purchased],
tblPurchases[product_id],TblOrderRec[[#This Row],[Product ID]],
tblPurchases[received_date],"&gt;="&amp;tblOrderReportPeriod[Period Start Date],
tblPurchases[received_date],"&lt;="&amp;tblOrderReportPeriod[Period End Date])</f>
        <v>112</v>
      </c>
      <c r="H8" cm="1">
        <f t="array" ref="H8">SUMIFS(tblSales[quantity],
tblSales[product_id],TblOrderRec[[#This Row],[Product ID]],
tblSales[sale_date],"&gt;="&amp;tblOrderReportPeriod[Period Start Date],
tblSales[sale_date],"&lt;="&amp;tblOrderReportPeriod[Period End Date])</f>
        <v>49</v>
      </c>
      <c r="I8">
        <f>TblOrderRec[[#This Row],[Beg QTY]]+TblOrderRec[[#This Row],[Purchased]]-TblOrderRec[[#This Row],[Sold (SORT DESC)]]</f>
        <v>78</v>
      </c>
      <c r="J8" s="2" cm="1">
        <f t="array" ref="J8">TblOrderRec[[#This Row],[Sold (SORT DESC)]]/tblOrderReportPeriod[Total Elapsed Days]</f>
        <v>1.4</v>
      </c>
      <c r="K8" s="2">
        <f>TblOrderRec[[#This Row],[Daily Velocity]]*7</f>
        <v>9.7999999999999989</v>
      </c>
      <c r="L8" s="4">
        <f>_xlfn.FLOOR.MATH(TblOrderRec[[#This Row],[End QTY]]/TblOrderRec[[#This Row],[Daily Velocity]])</f>
        <v>55</v>
      </c>
      <c r="M8" s="12" cm="1">
        <f t="array" ref="M8">tblOrderReportPeriod[Period End Date]+TblOrderRec[[#This Row],[Current Days of Inventory]]</f>
        <v>46111</v>
      </c>
      <c r="N8" s="15">
        <f>TblOrderRec[[#This Row],[Sold (SORT DESC)]]/SUM(TblOrderRec[Sold (SORT DESC)])</f>
        <v>5.9829059829059832E-2</v>
      </c>
      <c r="O8" s="5">
        <f>SUM($N$2:N8)</f>
        <v>0.59462759462759462</v>
      </c>
      <c r="P8" s="5" t="str" cm="1">
        <f t="array" ref="P8">_xlfn.IFS(TblOrderRec[[#This Row],[Running Total of % of Sales]]&lt;=0.8,"A – Top Sellers",
TblOrderRec[[#This Row],[Running Total of % of Sales]]&lt;=0.95,"B – Mid Sellers",
TRUE,"C – Low Sellers"
)</f>
        <v>A – Top Sellers</v>
      </c>
      <c r="Q8" s="4" cm="1">
        <f t="array" ref="Q8">_xlfn.IFS(
TblOrderRec[[#This Row],[Running Total of % of Sales]]&lt;=0.8, 14+tblOrderReportPeriod[Days Between Deliveries],
TblOrderRec[[#This Row],[Running Total of % of Sales]]&lt;=0.95, 7+tblOrderReportPeriod[Days Between Deliveries],
TRUE,tblOrderReportPeriod[Days Between Deliveries]
)</f>
        <v>28</v>
      </c>
      <c r="R8" s="4" cm="1">
        <f t="array" ref="R8">IF(TblOrderRec[[#This Row],[End QTY]]-_xlfn.CEILING.MATH((tblOrderReportPeriod[Lead Time]*TblOrderRec[[#This Row],[Daily Velocity]]))&gt;=0,TblOrderRec[[#This Row],[End QTY]]-_xlfn.CEILING.MATH((tblOrderReportPeriod[Lead Time]*TblOrderRec[[#This Row],[Daily Velocity]])),0)</f>
        <v>69</v>
      </c>
      <c r="S8" s="4">
        <f>_xlfn.CEILING.MATH(TblOrderRec[[#This Row],[Daily Velocity]]*TblOrderRec[[#This Row],[Target Days of Supply After Delivery]])</f>
        <v>40</v>
      </c>
      <c r="T8" s="4">
        <f>MAX(TblOrderRec[[#This Row],[Target Inventory after Delivery]]-TblOrderRec[[#This Row],[Inventory at Delivery]],0)</f>
        <v>0</v>
      </c>
      <c r="U8" s="4">
        <f>ROUNDUP(TblOrderRec[[#This Row],[Units to Order]]/TblOrderRec[[#This Row],[Purchase Unit Size]],0)</f>
        <v>0</v>
      </c>
      <c r="V8" s="4">
        <f>TblOrderRec[[#This Row],[Inventory at Delivery]]+(TblOrderRec[[#This Row],[Purchase Units to Order]]*TblOrderRec[[#This Row],[Purchase Unit Size]])</f>
        <v>69</v>
      </c>
      <c r="W8" s="11">
        <f>IFERROR(ROUNDDOWN(TblOrderRec[[#This Row],[Projected QTY on Hand after Delivery]]/TblOrderRec[[#This Row],[Daily Velocity]],0),"NULL")</f>
        <v>49</v>
      </c>
      <c r="X8" s="12" cm="1">
        <f t="array" ref="X8">IF(TblOrderRec[[#This Row],[Units to Order]]=0,TblOrderRec[[#This Row],[Current Depletion Date]],tblOrderReportPeriod[Order Delivery Date]+TblOrderRec[[#This Row],[Projected Days Until Depleted]])</f>
        <v>46111</v>
      </c>
    </row>
    <row r="9" spans="1:24" x14ac:dyDescent="0.25">
      <c r="A9" s="17">
        <v>7165581</v>
      </c>
      <c r="B9" t="str">
        <f>_xlfn.XLOOKUP(TblOrderRec[[#This Row],[Product ID]],tblProduct[product_id],tblProduct[category])</f>
        <v>candy</v>
      </c>
      <c r="C9" t="str">
        <f>_xlfn.XLOOKUP(TblOrderRec[[#This Row],[Product ID]],tblProduct[product_id],tblProduct[product_name])</f>
        <v>Snickers</v>
      </c>
      <c r="D9" t="str">
        <f>IF(LEN(TblOrderRec[[#This Row],[Product]])&gt;15,LEFT(TblOrderRec[[#This Row],[Product]],12)&amp;"…",TblOrderRec[[#This Row],[Product]])</f>
        <v>Snickers</v>
      </c>
      <c r="E9">
        <f>_xlfn.XLOOKUP(TblOrderRec[[#This Row],[Product ID]],tblProduct[product_id],tblProduct[purchase_unit_size])</f>
        <v>28</v>
      </c>
      <c r="F9" cm="1">
        <f t="array" ref="F9">_xlfn.XLOOKUP(TblOrderRec[[#This Row],[Product ID]]&amp;tblOrderReportPeriod[Period Start Date],tblInventorySnapshot[product_id]&amp;tblInventorySnapshot[snapshot_date],tblInventorySnapshot[qty_on_hand])</f>
        <v>13</v>
      </c>
      <c r="G9" cm="1">
        <f t="array" ref="G9">SUMIFS(tblPurchases[total_qty_purchased],
tblPurchases[product_id],TblOrderRec[[#This Row],[Product ID]],
tblPurchases[received_date],"&gt;="&amp;tblOrderReportPeriod[Period Start Date],
tblPurchases[received_date],"&lt;="&amp;tblOrderReportPeriod[Period End Date])</f>
        <v>56</v>
      </c>
      <c r="H9" cm="1">
        <f t="array" ref="H9">SUMIFS(tblSales[quantity],
tblSales[product_id],TblOrderRec[[#This Row],[Product ID]],
tblSales[sale_date],"&gt;="&amp;tblOrderReportPeriod[Period Start Date],
tblSales[sale_date],"&lt;="&amp;tblOrderReportPeriod[Period End Date])</f>
        <v>48</v>
      </c>
      <c r="I9">
        <f>TblOrderRec[[#This Row],[Beg QTY]]+TblOrderRec[[#This Row],[Purchased]]-TblOrderRec[[#This Row],[Sold (SORT DESC)]]</f>
        <v>21</v>
      </c>
      <c r="J9" s="2" cm="1">
        <f t="array" ref="J9">TblOrderRec[[#This Row],[Sold (SORT DESC)]]/tblOrderReportPeriod[Total Elapsed Days]</f>
        <v>1.3714285714285714</v>
      </c>
      <c r="K9" s="2">
        <f>TblOrderRec[[#This Row],[Daily Velocity]]*7</f>
        <v>9.6</v>
      </c>
      <c r="L9" s="4">
        <f>_xlfn.FLOOR.MATH(TblOrderRec[[#This Row],[End QTY]]/TblOrderRec[[#This Row],[Daily Velocity]])</f>
        <v>15</v>
      </c>
      <c r="M9" s="12" cm="1">
        <f t="array" ref="M9">tblOrderReportPeriod[Period End Date]+TblOrderRec[[#This Row],[Current Days of Inventory]]</f>
        <v>46071</v>
      </c>
      <c r="N9" s="15">
        <f>TblOrderRec[[#This Row],[Sold (SORT DESC)]]/SUM(TblOrderRec[Sold (SORT DESC)])</f>
        <v>5.8608058608058608E-2</v>
      </c>
      <c r="O9" s="5">
        <f>SUM($N$2:N9)</f>
        <v>0.65323565323565325</v>
      </c>
      <c r="P9" s="5" t="str" cm="1">
        <f t="array" ref="P9">_xlfn.IFS(TblOrderRec[[#This Row],[Running Total of % of Sales]]&lt;=0.8,"A – Top Sellers",
TblOrderRec[[#This Row],[Running Total of % of Sales]]&lt;=0.95,"B – Mid Sellers",
TRUE,"C – Low Sellers"
)</f>
        <v>A – Top Sellers</v>
      </c>
      <c r="Q9" s="4" cm="1">
        <f t="array" ref="Q9">_xlfn.IFS(
TblOrderRec[[#This Row],[Running Total of % of Sales]]&lt;=0.8, 14+tblOrderReportPeriod[Days Between Deliveries],
TblOrderRec[[#This Row],[Running Total of % of Sales]]&lt;=0.95, 7+tblOrderReportPeriod[Days Between Deliveries],
TRUE,tblOrderReportPeriod[Days Between Deliveries]
)</f>
        <v>28</v>
      </c>
      <c r="R9" s="4" cm="1">
        <f t="array" ref="R9">IF(TblOrderRec[[#This Row],[End QTY]]-_xlfn.CEILING.MATH((tblOrderReportPeriod[Lead Time]*TblOrderRec[[#This Row],[Daily Velocity]]))&gt;=0,TblOrderRec[[#This Row],[End QTY]]-_xlfn.CEILING.MATH((tblOrderReportPeriod[Lead Time]*TblOrderRec[[#This Row],[Daily Velocity]])),0)</f>
        <v>12</v>
      </c>
      <c r="S9" s="4">
        <f>_xlfn.CEILING.MATH(TblOrderRec[[#This Row],[Daily Velocity]]*TblOrderRec[[#This Row],[Target Days of Supply After Delivery]])</f>
        <v>39</v>
      </c>
      <c r="T9" s="4">
        <f>MAX(TblOrderRec[[#This Row],[Target Inventory after Delivery]]-TblOrderRec[[#This Row],[Inventory at Delivery]],0)</f>
        <v>27</v>
      </c>
      <c r="U9" s="4">
        <f>ROUNDUP(TblOrderRec[[#This Row],[Units to Order]]/TblOrderRec[[#This Row],[Purchase Unit Size]],0)</f>
        <v>1</v>
      </c>
      <c r="V9" s="4">
        <f>TblOrderRec[[#This Row],[Inventory at Delivery]]+(TblOrderRec[[#This Row],[Purchase Units to Order]]*TblOrderRec[[#This Row],[Purchase Unit Size]])</f>
        <v>40</v>
      </c>
      <c r="W9" s="11">
        <f>IFERROR(ROUNDDOWN(TblOrderRec[[#This Row],[Projected QTY on Hand after Delivery]]/TblOrderRec[[#This Row],[Daily Velocity]],0),"NULL")</f>
        <v>29</v>
      </c>
      <c r="X9" s="12" cm="1">
        <f t="array" ref="X9">IF(TblOrderRec[[#This Row],[Units to Order]]=0,TblOrderRec[[#This Row],[Current Depletion Date]],tblOrderReportPeriod[Order Delivery Date]+TblOrderRec[[#This Row],[Projected Days Until Depleted]])</f>
        <v>46091</v>
      </c>
    </row>
    <row r="10" spans="1:24" x14ac:dyDescent="0.25">
      <c r="A10" s="17">
        <v>6334728</v>
      </c>
      <c r="B10" t="str">
        <f>_xlfn.XLOOKUP(TblOrderRec[[#This Row],[Product ID]],tblProduct[product_id],tblProduct[category])</f>
        <v>candy</v>
      </c>
      <c r="C10" t="str">
        <f>_xlfn.XLOOKUP(TblOrderRec[[#This Row],[Product ID]],tblProduct[product_id],tblProduct[product_name])</f>
        <v>Skittles</v>
      </c>
      <c r="D10" t="str">
        <f>IF(LEN(TblOrderRec[[#This Row],[Product]])&gt;15,LEFT(TblOrderRec[[#This Row],[Product]],12)&amp;"…",TblOrderRec[[#This Row],[Product]])</f>
        <v>Skittles</v>
      </c>
      <c r="E10">
        <f>_xlfn.XLOOKUP(TblOrderRec[[#This Row],[Product ID]],tblProduct[product_id],tblProduct[purchase_unit_size])</f>
        <v>28</v>
      </c>
      <c r="F10" cm="1">
        <f t="array" ref="F10">_xlfn.XLOOKUP(TblOrderRec[[#This Row],[Product ID]]&amp;tblOrderReportPeriod[Period Start Date],tblInventorySnapshot[product_id]&amp;tblInventorySnapshot[snapshot_date],tblInventorySnapshot[qty_on_hand])</f>
        <v>35</v>
      </c>
      <c r="G10" cm="1">
        <f t="array" ref="G10">SUMIFS(tblPurchases[total_qty_purchased],
tblPurchases[product_id],TblOrderRec[[#This Row],[Product ID]],
tblPurchases[received_date],"&gt;="&amp;tblOrderReportPeriod[Period Start Date],
tblPurchases[received_date],"&lt;="&amp;tblOrderReportPeriod[Period End Date])</f>
        <v>28</v>
      </c>
      <c r="H10" cm="1">
        <f t="array" ref="H10">SUMIFS(tblSales[quantity],
tblSales[product_id],TblOrderRec[[#This Row],[Product ID]],
tblSales[sale_date],"&gt;="&amp;tblOrderReportPeriod[Period Start Date],
tblSales[sale_date],"&lt;="&amp;tblOrderReportPeriod[Period End Date])</f>
        <v>38</v>
      </c>
      <c r="I10">
        <f>TblOrderRec[[#This Row],[Beg QTY]]+TblOrderRec[[#This Row],[Purchased]]-TblOrderRec[[#This Row],[Sold (SORT DESC)]]</f>
        <v>25</v>
      </c>
      <c r="J10" s="2" cm="1">
        <f t="array" ref="J10">TblOrderRec[[#This Row],[Sold (SORT DESC)]]/tblOrderReportPeriod[Total Elapsed Days]</f>
        <v>1.0857142857142856</v>
      </c>
      <c r="K10" s="2">
        <f>TblOrderRec[[#This Row],[Daily Velocity]]*7</f>
        <v>7.6</v>
      </c>
      <c r="L10" s="4">
        <f>_xlfn.FLOOR.MATH(TblOrderRec[[#This Row],[End QTY]]/TblOrderRec[[#This Row],[Daily Velocity]])</f>
        <v>23</v>
      </c>
      <c r="M10" s="12" cm="1">
        <f t="array" ref="M10">tblOrderReportPeriod[Period End Date]+TblOrderRec[[#This Row],[Current Days of Inventory]]</f>
        <v>46079</v>
      </c>
      <c r="N10" s="15">
        <f>TblOrderRec[[#This Row],[Sold (SORT DESC)]]/SUM(TblOrderRec[Sold (SORT DESC)])</f>
        <v>4.63980463980464E-2</v>
      </c>
      <c r="O10" s="5">
        <f>SUM($N$2:N10)</f>
        <v>0.69963369963369959</v>
      </c>
      <c r="P10" s="5" t="str" cm="1">
        <f t="array" ref="P10">_xlfn.IFS(TblOrderRec[[#This Row],[Running Total of % of Sales]]&lt;=0.8,"A – Top Sellers",
TblOrderRec[[#This Row],[Running Total of % of Sales]]&lt;=0.95,"B – Mid Sellers",
TRUE,"C – Low Sellers"
)</f>
        <v>A – Top Sellers</v>
      </c>
      <c r="Q10" s="4" cm="1">
        <f t="array" ref="Q10">_xlfn.IFS(
TblOrderRec[[#This Row],[Running Total of % of Sales]]&lt;=0.8, 14+tblOrderReportPeriod[Days Between Deliveries],
TblOrderRec[[#This Row],[Running Total of % of Sales]]&lt;=0.95, 7+tblOrderReportPeriod[Days Between Deliveries],
TRUE,tblOrderReportPeriod[Days Between Deliveries]
)</f>
        <v>28</v>
      </c>
      <c r="R10" s="4" cm="1">
        <f t="array" ref="R10">IF(TblOrderRec[[#This Row],[End QTY]]-_xlfn.CEILING.MATH((tblOrderReportPeriod[Lead Time]*TblOrderRec[[#This Row],[Daily Velocity]]))&gt;=0,TblOrderRec[[#This Row],[End QTY]]-_xlfn.CEILING.MATH((tblOrderReportPeriod[Lead Time]*TblOrderRec[[#This Row],[Daily Velocity]])),0)</f>
        <v>18</v>
      </c>
      <c r="S10" s="4">
        <f>_xlfn.CEILING.MATH(TblOrderRec[[#This Row],[Daily Velocity]]*TblOrderRec[[#This Row],[Target Days of Supply After Delivery]])</f>
        <v>31</v>
      </c>
      <c r="T10" s="4">
        <f>MAX(TblOrderRec[[#This Row],[Target Inventory after Delivery]]-TblOrderRec[[#This Row],[Inventory at Delivery]],0)</f>
        <v>13</v>
      </c>
      <c r="U10" s="4">
        <f>ROUNDUP(TblOrderRec[[#This Row],[Units to Order]]/TblOrderRec[[#This Row],[Purchase Unit Size]],0)</f>
        <v>1</v>
      </c>
      <c r="V10" s="4">
        <f>TblOrderRec[[#This Row],[Inventory at Delivery]]+(TblOrderRec[[#This Row],[Purchase Units to Order]]*TblOrderRec[[#This Row],[Purchase Unit Size]])</f>
        <v>46</v>
      </c>
      <c r="W10" s="11">
        <f>IFERROR(ROUNDDOWN(TblOrderRec[[#This Row],[Projected QTY on Hand after Delivery]]/TblOrderRec[[#This Row],[Daily Velocity]],0),"NULL")</f>
        <v>42</v>
      </c>
      <c r="X10" s="12" cm="1">
        <f t="array" ref="X10">IF(TblOrderRec[[#This Row],[Units to Order]]=0,TblOrderRec[[#This Row],[Current Depletion Date]],tblOrderReportPeriod[Order Delivery Date]+TblOrderRec[[#This Row],[Projected Days Until Depleted]])</f>
        <v>46104</v>
      </c>
    </row>
    <row r="11" spans="1:24" x14ac:dyDescent="0.25">
      <c r="A11" s="17">
        <v>6825224</v>
      </c>
      <c r="B11" t="str">
        <f>_xlfn.XLOOKUP(TblOrderRec[[#This Row],[Product ID]],tblProduct[product_id],tblProduct[category])</f>
        <v>snack</v>
      </c>
      <c r="C11" t="str">
        <f>_xlfn.XLOOKUP(TblOrderRec[[#This Row],[Product ID]],tblProduct[product_id],tblProduct[product_name])</f>
        <v>Pringles Original</v>
      </c>
      <c r="D11" t="str">
        <f>IF(LEN(TblOrderRec[[#This Row],[Product]])&gt;15,LEFT(TblOrderRec[[#This Row],[Product]],12)&amp;"…",TblOrderRec[[#This Row],[Product]])</f>
        <v>Pringles Ori…</v>
      </c>
      <c r="E11">
        <f>_xlfn.XLOOKUP(TblOrderRec[[#This Row],[Product ID]],tblProduct[product_id],tblProduct[purchase_unit_size])</f>
        <v>24</v>
      </c>
      <c r="F11" cm="1">
        <f t="array" ref="F11">_xlfn.XLOOKUP(TblOrderRec[[#This Row],[Product ID]]&amp;tblOrderReportPeriod[Period Start Date],tblInventorySnapshot[product_id]&amp;tblInventorySnapshot[snapshot_date],tblInventorySnapshot[qty_on_hand])</f>
        <v>13</v>
      </c>
      <c r="G11" cm="1">
        <f t="array" ref="G11">SUMIFS(tblPurchases[total_qty_purchased],
tblPurchases[product_id],TblOrderRec[[#This Row],[Product ID]],
tblPurchases[received_date],"&gt;="&amp;tblOrderReportPeriod[Period Start Date],
tblPurchases[received_date],"&lt;="&amp;tblOrderReportPeriod[Period End Date])</f>
        <v>48</v>
      </c>
      <c r="H11" cm="1">
        <f t="array" ref="H11">SUMIFS(tblSales[quantity],
tblSales[product_id],TblOrderRec[[#This Row],[Product ID]],
tblSales[sale_date],"&gt;="&amp;tblOrderReportPeriod[Period Start Date],
tblSales[sale_date],"&lt;="&amp;tblOrderReportPeriod[Period End Date])</f>
        <v>34</v>
      </c>
      <c r="I11">
        <f>TblOrderRec[[#This Row],[Beg QTY]]+TblOrderRec[[#This Row],[Purchased]]-TblOrderRec[[#This Row],[Sold (SORT DESC)]]</f>
        <v>27</v>
      </c>
      <c r="J11" s="2" cm="1">
        <f t="array" ref="J11">TblOrderRec[[#This Row],[Sold (SORT DESC)]]/tblOrderReportPeriod[Total Elapsed Days]</f>
        <v>0.97142857142857142</v>
      </c>
      <c r="K11" s="2">
        <f>TblOrderRec[[#This Row],[Daily Velocity]]*7</f>
        <v>6.8</v>
      </c>
      <c r="L11" s="4">
        <f>_xlfn.FLOOR.MATH(TblOrderRec[[#This Row],[End QTY]]/TblOrderRec[[#This Row],[Daily Velocity]])</f>
        <v>27</v>
      </c>
      <c r="M11" s="12" cm="1">
        <f t="array" ref="M11">tblOrderReportPeriod[Period End Date]+TblOrderRec[[#This Row],[Current Days of Inventory]]</f>
        <v>46083</v>
      </c>
      <c r="N11" s="15">
        <f>TblOrderRec[[#This Row],[Sold (SORT DESC)]]/SUM(TblOrderRec[Sold (SORT DESC)])</f>
        <v>4.1514041514041512E-2</v>
      </c>
      <c r="O11" s="5">
        <f>SUM($N$2:N11)</f>
        <v>0.74114774114774107</v>
      </c>
      <c r="P11" s="5" t="str" cm="1">
        <f t="array" ref="P11">_xlfn.IFS(TblOrderRec[[#This Row],[Running Total of % of Sales]]&lt;=0.8,"A – Top Sellers",
TblOrderRec[[#This Row],[Running Total of % of Sales]]&lt;=0.95,"B – Mid Sellers",
TRUE,"C – Low Sellers"
)</f>
        <v>A – Top Sellers</v>
      </c>
      <c r="Q11" s="4" cm="1">
        <f t="array" ref="Q11">_xlfn.IFS(
TblOrderRec[[#This Row],[Running Total of % of Sales]]&lt;=0.8, 14+tblOrderReportPeriod[Days Between Deliveries],
TblOrderRec[[#This Row],[Running Total of % of Sales]]&lt;=0.95, 7+tblOrderReportPeriod[Days Between Deliveries],
TRUE,tblOrderReportPeriod[Days Between Deliveries]
)</f>
        <v>28</v>
      </c>
      <c r="R11" s="4" cm="1">
        <f t="array" ref="R11">IF(TblOrderRec[[#This Row],[End QTY]]-_xlfn.CEILING.MATH((tblOrderReportPeriod[Lead Time]*TblOrderRec[[#This Row],[Daily Velocity]]))&gt;=0,TblOrderRec[[#This Row],[End QTY]]-_xlfn.CEILING.MATH((tblOrderReportPeriod[Lead Time]*TblOrderRec[[#This Row],[Daily Velocity]])),0)</f>
        <v>21</v>
      </c>
      <c r="S11" s="4">
        <f>_xlfn.CEILING.MATH(TblOrderRec[[#This Row],[Daily Velocity]]*TblOrderRec[[#This Row],[Target Days of Supply After Delivery]])</f>
        <v>28</v>
      </c>
      <c r="T11" s="4">
        <f>MAX(TblOrderRec[[#This Row],[Target Inventory after Delivery]]-TblOrderRec[[#This Row],[Inventory at Delivery]],0)</f>
        <v>7</v>
      </c>
      <c r="U11" s="4">
        <f>ROUNDUP(TblOrderRec[[#This Row],[Units to Order]]/TblOrderRec[[#This Row],[Purchase Unit Size]],0)</f>
        <v>1</v>
      </c>
      <c r="V11" s="4">
        <f>TblOrderRec[[#This Row],[Inventory at Delivery]]+(TblOrderRec[[#This Row],[Purchase Units to Order]]*TblOrderRec[[#This Row],[Purchase Unit Size]])</f>
        <v>45</v>
      </c>
      <c r="W11" s="11">
        <f>IFERROR(ROUNDDOWN(TblOrderRec[[#This Row],[Projected QTY on Hand after Delivery]]/TblOrderRec[[#This Row],[Daily Velocity]],0),"NULL")</f>
        <v>46</v>
      </c>
      <c r="X11" s="12" cm="1">
        <f t="array" ref="X11">IF(TblOrderRec[[#This Row],[Units to Order]]=0,TblOrderRec[[#This Row],[Current Depletion Date]],tblOrderReportPeriod[Order Delivery Date]+TblOrderRec[[#This Row],[Projected Days Until Depleted]])</f>
        <v>46108</v>
      </c>
    </row>
    <row r="12" spans="1:24" x14ac:dyDescent="0.25">
      <c r="A12" s="17">
        <v>8306905</v>
      </c>
      <c r="B12" t="str">
        <f>_xlfn.XLOOKUP(TblOrderRec[[#This Row],[Product ID]],tblProduct[product_id],tblProduct[category])</f>
        <v>candy</v>
      </c>
      <c r="C12" t="str">
        <f>_xlfn.XLOOKUP(TblOrderRec[[#This Row],[Product ID]],tblProduct[product_id],tblProduct[product_name])</f>
        <v>Haribo Goldbears</v>
      </c>
      <c r="D12" t="str">
        <f>IF(LEN(TblOrderRec[[#This Row],[Product]])&gt;15,LEFT(TblOrderRec[[#This Row],[Product]],12)&amp;"…",TblOrderRec[[#This Row],[Product]])</f>
        <v>Haribo Goldb…</v>
      </c>
      <c r="E12">
        <f>_xlfn.XLOOKUP(TblOrderRec[[#This Row],[Product ID]],tblProduct[product_id],tblProduct[purchase_unit_size])</f>
        <v>28</v>
      </c>
      <c r="F12" cm="1">
        <f t="array" ref="F12">_xlfn.XLOOKUP(TblOrderRec[[#This Row],[Product ID]]&amp;tblOrderReportPeriod[Period Start Date],tblInventorySnapshot[product_id]&amp;tblInventorySnapshot[snapshot_date],tblInventorySnapshot[qty_on_hand])</f>
        <v>21</v>
      </c>
      <c r="G12" cm="1">
        <f t="array" ref="G12">SUMIFS(tblPurchases[total_qty_purchased],
tblPurchases[product_id],TblOrderRec[[#This Row],[Product ID]],
tblPurchases[received_date],"&gt;="&amp;tblOrderReportPeriod[Period Start Date],
tblPurchases[received_date],"&lt;="&amp;tblOrderReportPeriod[Period End Date])</f>
        <v>28</v>
      </c>
      <c r="H12" cm="1">
        <f t="array" ref="H12">SUMIFS(tblSales[quantity],
tblSales[product_id],TblOrderRec[[#This Row],[Product ID]],
tblSales[sale_date],"&gt;="&amp;tblOrderReportPeriod[Period Start Date],
tblSales[sale_date],"&lt;="&amp;tblOrderReportPeriod[Period End Date])</f>
        <v>31</v>
      </c>
      <c r="I12">
        <f>TblOrderRec[[#This Row],[Beg QTY]]+TblOrderRec[[#This Row],[Purchased]]-TblOrderRec[[#This Row],[Sold (SORT DESC)]]</f>
        <v>18</v>
      </c>
      <c r="J12" s="2" cm="1">
        <f t="array" ref="J12">TblOrderRec[[#This Row],[Sold (SORT DESC)]]/tblOrderReportPeriod[Total Elapsed Days]</f>
        <v>0.88571428571428568</v>
      </c>
      <c r="K12" s="2">
        <f>TblOrderRec[[#This Row],[Daily Velocity]]*7</f>
        <v>6.1999999999999993</v>
      </c>
      <c r="L12" s="4">
        <f>_xlfn.FLOOR.MATH(TblOrderRec[[#This Row],[End QTY]]/TblOrderRec[[#This Row],[Daily Velocity]])</f>
        <v>20</v>
      </c>
      <c r="M12" s="12" cm="1">
        <f t="array" ref="M12">tblOrderReportPeriod[Period End Date]+TblOrderRec[[#This Row],[Current Days of Inventory]]</f>
        <v>46076</v>
      </c>
      <c r="N12" s="15">
        <f>TblOrderRec[[#This Row],[Sold (SORT DESC)]]/SUM(TblOrderRec[Sold (SORT DESC)])</f>
        <v>3.7851037851037848E-2</v>
      </c>
      <c r="O12" s="5">
        <f>SUM($N$2:N12)</f>
        <v>0.7789987789987789</v>
      </c>
      <c r="P12" s="5" t="str" cm="1">
        <f t="array" ref="P12">_xlfn.IFS(TblOrderRec[[#This Row],[Running Total of % of Sales]]&lt;=0.8,"A – Top Sellers",
TblOrderRec[[#This Row],[Running Total of % of Sales]]&lt;=0.95,"B – Mid Sellers",
TRUE,"C – Low Sellers"
)</f>
        <v>A – Top Sellers</v>
      </c>
      <c r="Q12" s="4" cm="1">
        <f t="array" ref="Q12">_xlfn.IFS(
TblOrderRec[[#This Row],[Running Total of % of Sales]]&lt;=0.8, 14+tblOrderReportPeriod[Days Between Deliveries],
TblOrderRec[[#This Row],[Running Total of % of Sales]]&lt;=0.95, 7+tblOrderReportPeriod[Days Between Deliveries],
TRUE,tblOrderReportPeriod[Days Between Deliveries]
)</f>
        <v>28</v>
      </c>
      <c r="R12" s="4" cm="1">
        <f t="array" ref="R12">IF(TblOrderRec[[#This Row],[End QTY]]-_xlfn.CEILING.MATH((tblOrderReportPeriod[Lead Time]*TblOrderRec[[#This Row],[Daily Velocity]]))&gt;=0,TblOrderRec[[#This Row],[End QTY]]-_xlfn.CEILING.MATH((tblOrderReportPeriod[Lead Time]*TblOrderRec[[#This Row],[Daily Velocity]])),0)</f>
        <v>12</v>
      </c>
      <c r="S12" s="4">
        <f>_xlfn.CEILING.MATH(TblOrderRec[[#This Row],[Daily Velocity]]*TblOrderRec[[#This Row],[Target Days of Supply After Delivery]])</f>
        <v>25</v>
      </c>
      <c r="T12" s="4">
        <f>MAX(TblOrderRec[[#This Row],[Target Inventory after Delivery]]-TblOrderRec[[#This Row],[Inventory at Delivery]],0)</f>
        <v>13</v>
      </c>
      <c r="U12" s="4">
        <f>ROUNDUP(TblOrderRec[[#This Row],[Units to Order]]/TblOrderRec[[#This Row],[Purchase Unit Size]],0)</f>
        <v>1</v>
      </c>
      <c r="V12" s="4">
        <f>TblOrderRec[[#This Row],[Inventory at Delivery]]+(TblOrderRec[[#This Row],[Purchase Units to Order]]*TblOrderRec[[#This Row],[Purchase Unit Size]])</f>
        <v>40</v>
      </c>
      <c r="W12" s="11">
        <f>IFERROR(ROUNDDOWN(TblOrderRec[[#This Row],[Projected QTY on Hand after Delivery]]/TblOrderRec[[#This Row],[Daily Velocity]],0),"NULL")</f>
        <v>45</v>
      </c>
      <c r="X12" s="12" cm="1">
        <f t="array" ref="X12">IF(TblOrderRec[[#This Row],[Units to Order]]=0,TblOrderRec[[#This Row],[Current Depletion Date]],tblOrderReportPeriod[Order Delivery Date]+TblOrderRec[[#This Row],[Projected Days Until Depleted]])</f>
        <v>46107</v>
      </c>
    </row>
    <row r="13" spans="1:24" x14ac:dyDescent="0.25">
      <c r="A13" s="17">
        <v>3894456</v>
      </c>
      <c r="B13" t="str">
        <f>_xlfn.XLOOKUP(TblOrderRec[[#This Row],[Product ID]],tblProduct[product_id],tblProduct[category])</f>
        <v>snack</v>
      </c>
      <c r="C13" t="str">
        <f>_xlfn.XLOOKUP(TblOrderRec[[#This Row],[Product ID]],tblProduct[product_id],tblProduct[product_name])</f>
        <v>Cheetos Crunchy</v>
      </c>
      <c r="D13" t="str">
        <f>IF(LEN(TblOrderRec[[#This Row],[Product]])&gt;15,LEFT(TblOrderRec[[#This Row],[Product]],12)&amp;"…",TblOrderRec[[#This Row],[Product]])</f>
        <v>Cheetos Crunchy</v>
      </c>
      <c r="E13">
        <f>_xlfn.XLOOKUP(TblOrderRec[[#This Row],[Product ID]],tblProduct[product_id],tblProduct[purchase_unit_size])</f>
        <v>24</v>
      </c>
      <c r="F13" cm="1">
        <f t="array" ref="F13">_xlfn.XLOOKUP(TblOrderRec[[#This Row],[Product ID]]&amp;tblOrderReportPeriod[Period Start Date],tblInventorySnapshot[product_id]&amp;tblInventorySnapshot[snapshot_date],tblInventorySnapshot[qty_on_hand])</f>
        <v>19</v>
      </c>
      <c r="G13" cm="1">
        <f t="array" ref="G13">SUMIFS(tblPurchases[total_qty_purchased],
tblPurchases[product_id],TblOrderRec[[#This Row],[Product ID]],
tblPurchases[received_date],"&gt;="&amp;tblOrderReportPeriod[Period Start Date],
tblPurchases[received_date],"&lt;="&amp;tblOrderReportPeriod[Period End Date])</f>
        <v>24</v>
      </c>
      <c r="H13" cm="1">
        <f t="array" ref="H13">SUMIFS(tblSales[quantity],
tblSales[product_id],TblOrderRec[[#This Row],[Product ID]],
tblSales[sale_date],"&gt;="&amp;tblOrderReportPeriod[Period Start Date],
tblSales[sale_date],"&lt;="&amp;tblOrderReportPeriod[Period End Date])</f>
        <v>27</v>
      </c>
      <c r="I13">
        <f>TblOrderRec[[#This Row],[Beg QTY]]+TblOrderRec[[#This Row],[Purchased]]-TblOrderRec[[#This Row],[Sold (SORT DESC)]]</f>
        <v>16</v>
      </c>
      <c r="J13" s="2" cm="1">
        <f t="array" ref="J13">TblOrderRec[[#This Row],[Sold (SORT DESC)]]/tblOrderReportPeriod[Total Elapsed Days]</f>
        <v>0.77142857142857146</v>
      </c>
      <c r="K13" s="2">
        <f>TblOrderRec[[#This Row],[Daily Velocity]]*7</f>
        <v>5.4</v>
      </c>
      <c r="L13" s="4">
        <f>_xlfn.FLOOR.MATH(TblOrderRec[[#This Row],[End QTY]]/TblOrderRec[[#This Row],[Daily Velocity]])</f>
        <v>20</v>
      </c>
      <c r="M13" s="12" cm="1">
        <f t="array" ref="M13">tblOrderReportPeriod[Period End Date]+TblOrderRec[[#This Row],[Current Days of Inventory]]</f>
        <v>46076</v>
      </c>
      <c r="N13" s="15">
        <f>TblOrderRec[[#This Row],[Sold (SORT DESC)]]/SUM(TblOrderRec[Sold (SORT DESC)])</f>
        <v>3.2967032967032968E-2</v>
      </c>
      <c r="O13" s="5">
        <f>SUM($N$2:N13)</f>
        <v>0.81196581196581186</v>
      </c>
      <c r="P13" s="5" t="str" cm="1">
        <f t="array" ref="P13">_xlfn.IFS(TblOrderRec[[#This Row],[Running Total of % of Sales]]&lt;=0.8,"A – Top Sellers",
TblOrderRec[[#This Row],[Running Total of % of Sales]]&lt;=0.95,"B – Mid Sellers",
TRUE,"C – Low Sellers"
)</f>
        <v>B – Mid Sellers</v>
      </c>
      <c r="Q13" s="4" cm="1">
        <f t="array" ref="Q13">_xlfn.IFS(
TblOrderRec[[#This Row],[Running Total of % of Sales]]&lt;=0.8, 14+tblOrderReportPeriod[Days Between Deliveries],
TblOrderRec[[#This Row],[Running Total of % of Sales]]&lt;=0.95, 7+tblOrderReportPeriod[Days Between Deliveries],
TRUE,tblOrderReportPeriod[Days Between Deliveries]
)</f>
        <v>21</v>
      </c>
      <c r="R13" s="4" cm="1">
        <f t="array" ref="R13">IF(TblOrderRec[[#This Row],[End QTY]]-_xlfn.CEILING.MATH((tblOrderReportPeriod[Lead Time]*TblOrderRec[[#This Row],[Daily Velocity]]))&gt;=0,TblOrderRec[[#This Row],[End QTY]]-_xlfn.CEILING.MATH((tblOrderReportPeriod[Lead Time]*TblOrderRec[[#This Row],[Daily Velocity]])),0)</f>
        <v>11</v>
      </c>
      <c r="S13" s="4">
        <f>_xlfn.CEILING.MATH(TblOrderRec[[#This Row],[Daily Velocity]]*TblOrderRec[[#This Row],[Target Days of Supply After Delivery]])</f>
        <v>17</v>
      </c>
      <c r="T13" s="4">
        <f>MAX(TblOrderRec[[#This Row],[Target Inventory after Delivery]]-TblOrderRec[[#This Row],[Inventory at Delivery]],0)</f>
        <v>6</v>
      </c>
      <c r="U13" s="4">
        <f>ROUNDUP(TblOrderRec[[#This Row],[Units to Order]]/TblOrderRec[[#This Row],[Purchase Unit Size]],0)</f>
        <v>1</v>
      </c>
      <c r="V13" s="4">
        <f>TblOrderRec[[#This Row],[Inventory at Delivery]]+(TblOrderRec[[#This Row],[Purchase Units to Order]]*TblOrderRec[[#This Row],[Purchase Unit Size]])</f>
        <v>35</v>
      </c>
      <c r="W13" s="11">
        <f>IFERROR(ROUNDDOWN(TblOrderRec[[#This Row],[Projected QTY on Hand after Delivery]]/TblOrderRec[[#This Row],[Daily Velocity]],0),"NULL")</f>
        <v>45</v>
      </c>
      <c r="X13" s="12" cm="1">
        <f t="array" ref="X13">IF(TblOrderRec[[#This Row],[Units to Order]]=0,TblOrderRec[[#This Row],[Current Depletion Date]],tblOrderReportPeriod[Order Delivery Date]+TblOrderRec[[#This Row],[Projected Days Until Depleted]])</f>
        <v>46107</v>
      </c>
    </row>
    <row r="14" spans="1:24" x14ac:dyDescent="0.25">
      <c r="A14" s="17">
        <v>1331817</v>
      </c>
      <c r="B14" t="str">
        <f>_xlfn.XLOOKUP(TblOrderRec[[#This Row],[Product ID]],tblProduct[product_id],tblProduct[category])</f>
        <v>snack</v>
      </c>
      <c r="C14" t="str">
        <f>_xlfn.XLOOKUP(TblOrderRec[[#This Row],[Product ID]],tblProduct[product_id],tblProduct[product_name])</f>
        <v>Planters Peanuts</v>
      </c>
      <c r="D14" t="str">
        <f>IF(LEN(TblOrderRec[[#This Row],[Product]])&gt;15,LEFT(TblOrderRec[[#This Row],[Product]],12)&amp;"…",TblOrderRec[[#This Row],[Product]])</f>
        <v>Planters Pea…</v>
      </c>
      <c r="E14">
        <f>_xlfn.XLOOKUP(TblOrderRec[[#This Row],[Product ID]],tblProduct[product_id],tblProduct[purchase_unit_size])</f>
        <v>24</v>
      </c>
      <c r="F14" cm="1">
        <f t="array" ref="F14">_xlfn.XLOOKUP(TblOrderRec[[#This Row],[Product ID]]&amp;tblOrderReportPeriod[Period Start Date],tblInventorySnapshot[product_id]&amp;tblInventorySnapshot[snapshot_date],tblInventorySnapshot[qty_on_hand])</f>
        <v>30</v>
      </c>
      <c r="G14" cm="1">
        <f t="array" ref="G14">SUMIFS(tblPurchases[total_qty_purchased],
tblPurchases[product_id],TblOrderRec[[#This Row],[Product ID]],
tblPurchases[received_date],"&gt;="&amp;tblOrderReportPeriod[Period Start Date],
tblPurchases[received_date],"&lt;="&amp;tblOrderReportPeriod[Period End Date])</f>
        <v>0</v>
      </c>
      <c r="H14" cm="1">
        <f t="array" ref="H14">SUMIFS(tblSales[quantity],
tblSales[product_id],TblOrderRec[[#This Row],[Product ID]],
tblSales[sale_date],"&gt;="&amp;tblOrderReportPeriod[Period Start Date],
tblSales[sale_date],"&lt;="&amp;tblOrderReportPeriod[Period End Date])</f>
        <v>24</v>
      </c>
      <c r="I14">
        <f>TblOrderRec[[#This Row],[Beg QTY]]+TblOrderRec[[#This Row],[Purchased]]-TblOrderRec[[#This Row],[Sold (SORT DESC)]]</f>
        <v>6</v>
      </c>
      <c r="J14" s="2" cm="1">
        <f t="array" ref="J14">TblOrderRec[[#This Row],[Sold (SORT DESC)]]/tblOrderReportPeriod[Total Elapsed Days]</f>
        <v>0.68571428571428572</v>
      </c>
      <c r="K14" s="2">
        <f>TblOrderRec[[#This Row],[Daily Velocity]]*7</f>
        <v>4.8</v>
      </c>
      <c r="L14" s="4">
        <f>_xlfn.FLOOR.MATH(TblOrderRec[[#This Row],[End QTY]]/TblOrderRec[[#This Row],[Daily Velocity]])</f>
        <v>8</v>
      </c>
      <c r="M14" s="12" cm="1">
        <f t="array" ref="M14">tblOrderReportPeriod[Period End Date]+TblOrderRec[[#This Row],[Current Days of Inventory]]</f>
        <v>46064</v>
      </c>
      <c r="N14" s="15">
        <f>TblOrderRec[[#This Row],[Sold (SORT DESC)]]/SUM(TblOrderRec[Sold (SORT DESC)])</f>
        <v>2.9304029304029304E-2</v>
      </c>
      <c r="O14" s="5">
        <f>SUM($N$2:N14)</f>
        <v>0.84126984126984117</v>
      </c>
      <c r="P14" s="5" t="str" cm="1">
        <f t="array" ref="P14">_xlfn.IFS(TblOrderRec[[#This Row],[Running Total of % of Sales]]&lt;=0.8,"A – Top Sellers",
TblOrderRec[[#This Row],[Running Total of % of Sales]]&lt;=0.95,"B – Mid Sellers",
TRUE,"C – Low Sellers"
)</f>
        <v>B – Mid Sellers</v>
      </c>
      <c r="Q14" s="4" cm="1">
        <f t="array" ref="Q14">_xlfn.IFS(
TblOrderRec[[#This Row],[Running Total of % of Sales]]&lt;=0.8, 14+tblOrderReportPeriod[Days Between Deliveries],
TblOrderRec[[#This Row],[Running Total of % of Sales]]&lt;=0.95, 7+tblOrderReportPeriod[Days Between Deliveries],
TRUE,tblOrderReportPeriod[Days Between Deliveries]
)</f>
        <v>21</v>
      </c>
      <c r="R14" s="4" cm="1">
        <f t="array" ref="R14">IF(TblOrderRec[[#This Row],[End QTY]]-_xlfn.CEILING.MATH((tblOrderReportPeriod[Lead Time]*TblOrderRec[[#This Row],[Daily Velocity]]))&gt;=0,TblOrderRec[[#This Row],[End QTY]]-_xlfn.CEILING.MATH((tblOrderReportPeriod[Lead Time]*TblOrderRec[[#This Row],[Daily Velocity]])),0)</f>
        <v>1</v>
      </c>
      <c r="S14" s="4">
        <f>_xlfn.CEILING.MATH(TblOrderRec[[#This Row],[Daily Velocity]]*TblOrderRec[[#This Row],[Target Days of Supply After Delivery]])</f>
        <v>15</v>
      </c>
      <c r="T14" s="4">
        <f>MAX(TblOrderRec[[#This Row],[Target Inventory after Delivery]]-TblOrderRec[[#This Row],[Inventory at Delivery]],0)</f>
        <v>14</v>
      </c>
      <c r="U14" s="4">
        <f>ROUNDUP(TblOrderRec[[#This Row],[Units to Order]]/TblOrderRec[[#This Row],[Purchase Unit Size]],0)</f>
        <v>1</v>
      </c>
      <c r="V14" s="4">
        <f>TblOrderRec[[#This Row],[Inventory at Delivery]]+(TblOrderRec[[#This Row],[Purchase Units to Order]]*TblOrderRec[[#This Row],[Purchase Unit Size]])</f>
        <v>25</v>
      </c>
      <c r="W14" s="11">
        <f>IFERROR(ROUNDDOWN(TblOrderRec[[#This Row],[Projected QTY on Hand after Delivery]]/TblOrderRec[[#This Row],[Daily Velocity]],0),"NULL")</f>
        <v>36</v>
      </c>
      <c r="X14" s="12" cm="1">
        <f t="array" ref="X14">IF(TblOrderRec[[#This Row],[Units to Order]]=0,TblOrderRec[[#This Row],[Current Depletion Date]],tblOrderReportPeriod[Order Delivery Date]+TblOrderRec[[#This Row],[Projected Days Until Depleted]])</f>
        <v>46098</v>
      </c>
    </row>
    <row r="15" spans="1:24" x14ac:dyDescent="0.25">
      <c r="A15" s="17">
        <v>7747619</v>
      </c>
      <c r="B15" t="str">
        <f>_xlfn.XLOOKUP(TblOrderRec[[#This Row],[Product ID]],tblProduct[product_id],tblProduct[category])</f>
        <v>candy</v>
      </c>
      <c r="C15" t="str">
        <f>_xlfn.XLOOKUP(TblOrderRec[[#This Row],[Product ID]],tblProduct[product_id],tblProduct[product_name])</f>
        <v>Twix</v>
      </c>
      <c r="D15" t="str">
        <f>IF(LEN(TblOrderRec[[#This Row],[Product]])&gt;15,LEFT(TblOrderRec[[#This Row],[Product]],12)&amp;"…",TblOrderRec[[#This Row],[Product]])</f>
        <v>Twix</v>
      </c>
      <c r="E15">
        <f>_xlfn.XLOOKUP(TblOrderRec[[#This Row],[Product ID]],tblProduct[product_id],tblProduct[purchase_unit_size])</f>
        <v>28</v>
      </c>
      <c r="F15" cm="1">
        <f t="array" ref="F15">_xlfn.XLOOKUP(TblOrderRec[[#This Row],[Product ID]]&amp;tblOrderReportPeriod[Period Start Date],tblInventorySnapshot[product_id]&amp;tblInventorySnapshot[snapshot_date],tblInventorySnapshot[qty_on_hand])</f>
        <v>35</v>
      </c>
      <c r="G15" cm="1">
        <f t="array" ref="G15">SUMIFS(tblPurchases[total_qty_purchased],
tblPurchases[product_id],TblOrderRec[[#This Row],[Product ID]],
tblPurchases[received_date],"&gt;="&amp;tblOrderReportPeriod[Period Start Date],
tblPurchases[received_date],"&lt;="&amp;tblOrderReportPeriod[Period End Date])</f>
        <v>0</v>
      </c>
      <c r="H15" cm="1">
        <f t="array" ref="H15">SUMIFS(tblSales[quantity],
tblSales[product_id],TblOrderRec[[#This Row],[Product ID]],
tblSales[sale_date],"&gt;="&amp;tblOrderReportPeriod[Period Start Date],
tblSales[sale_date],"&lt;="&amp;tblOrderReportPeriod[Period End Date])</f>
        <v>21</v>
      </c>
      <c r="I15">
        <f>TblOrderRec[[#This Row],[Beg QTY]]+TblOrderRec[[#This Row],[Purchased]]-TblOrderRec[[#This Row],[Sold (SORT DESC)]]</f>
        <v>14</v>
      </c>
      <c r="J15" s="2" cm="1">
        <f t="array" ref="J15">TblOrderRec[[#This Row],[Sold (SORT DESC)]]/tblOrderReportPeriod[Total Elapsed Days]</f>
        <v>0.6</v>
      </c>
      <c r="K15" s="2">
        <f>TblOrderRec[[#This Row],[Daily Velocity]]*7</f>
        <v>4.2</v>
      </c>
      <c r="L15" s="4">
        <f>_xlfn.FLOOR.MATH(TblOrderRec[[#This Row],[End QTY]]/TblOrderRec[[#This Row],[Daily Velocity]])</f>
        <v>23</v>
      </c>
      <c r="M15" s="12" cm="1">
        <f t="array" ref="M15">tblOrderReportPeriod[Period End Date]+TblOrderRec[[#This Row],[Current Days of Inventory]]</f>
        <v>46079</v>
      </c>
      <c r="N15" s="15">
        <f>TblOrderRec[[#This Row],[Sold (SORT DESC)]]/SUM(TblOrderRec[Sold (SORT DESC)])</f>
        <v>2.564102564102564E-2</v>
      </c>
      <c r="O15" s="5">
        <f>SUM($N$2:N15)</f>
        <v>0.86691086691086683</v>
      </c>
      <c r="P15" s="5" t="str" cm="1">
        <f t="array" ref="P15">_xlfn.IFS(TblOrderRec[[#This Row],[Running Total of % of Sales]]&lt;=0.8,"A – Top Sellers",
TblOrderRec[[#This Row],[Running Total of % of Sales]]&lt;=0.95,"B – Mid Sellers",
TRUE,"C – Low Sellers"
)</f>
        <v>B – Mid Sellers</v>
      </c>
      <c r="Q15" s="4" cm="1">
        <f t="array" ref="Q15">_xlfn.IFS(
TblOrderRec[[#This Row],[Running Total of % of Sales]]&lt;=0.8, 14+tblOrderReportPeriod[Days Between Deliveries],
TblOrderRec[[#This Row],[Running Total of % of Sales]]&lt;=0.95, 7+tblOrderReportPeriod[Days Between Deliveries],
TRUE,tblOrderReportPeriod[Days Between Deliveries]
)</f>
        <v>21</v>
      </c>
      <c r="R15" s="4" cm="1">
        <f t="array" ref="R15">IF(TblOrderRec[[#This Row],[End QTY]]-_xlfn.CEILING.MATH((tblOrderReportPeriod[Lead Time]*TblOrderRec[[#This Row],[Daily Velocity]]))&gt;=0,TblOrderRec[[#This Row],[End QTY]]-_xlfn.CEILING.MATH((tblOrderReportPeriod[Lead Time]*TblOrderRec[[#This Row],[Daily Velocity]])),0)</f>
        <v>10</v>
      </c>
      <c r="S15" s="4">
        <f>_xlfn.CEILING.MATH(TblOrderRec[[#This Row],[Daily Velocity]]*TblOrderRec[[#This Row],[Target Days of Supply After Delivery]])</f>
        <v>13</v>
      </c>
      <c r="T15" s="4">
        <f>MAX(TblOrderRec[[#This Row],[Target Inventory after Delivery]]-TblOrderRec[[#This Row],[Inventory at Delivery]],0)</f>
        <v>3</v>
      </c>
      <c r="U15" s="4">
        <f>ROUNDUP(TblOrderRec[[#This Row],[Units to Order]]/TblOrderRec[[#This Row],[Purchase Unit Size]],0)</f>
        <v>1</v>
      </c>
      <c r="V15" s="4">
        <f>TblOrderRec[[#This Row],[Inventory at Delivery]]+(TblOrderRec[[#This Row],[Purchase Units to Order]]*TblOrderRec[[#This Row],[Purchase Unit Size]])</f>
        <v>38</v>
      </c>
      <c r="W15" s="11">
        <f>IFERROR(ROUNDDOWN(TblOrderRec[[#This Row],[Projected QTY on Hand after Delivery]]/TblOrderRec[[#This Row],[Daily Velocity]],0),"NULL")</f>
        <v>63</v>
      </c>
      <c r="X15" s="12" cm="1">
        <f t="array" ref="X15">IF(TblOrderRec[[#This Row],[Units to Order]]=0,TblOrderRec[[#This Row],[Current Depletion Date]],tblOrderReportPeriod[Order Delivery Date]+TblOrderRec[[#This Row],[Projected Days Until Depleted]])</f>
        <v>46125</v>
      </c>
    </row>
    <row r="16" spans="1:24" x14ac:dyDescent="0.25">
      <c r="A16" s="17">
        <v>4255235</v>
      </c>
      <c r="B16" t="str">
        <f>_xlfn.XLOOKUP(TblOrderRec[[#This Row],[Product ID]],tblProduct[product_id],tblProduct[category])</f>
        <v>snack</v>
      </c>
      <c r="C16" t="str">
        <f>_xlfn.XLOOKUP(TblOrderRec[[#This Row],[Product ID]],tblProduct[product_id],tblProduct[product_name])</f>
        <v>Cheez-It Crackers</v>
      </c>
      <c r="D16" t="str">
        <f>IF(LEN(TblOrderRec[[#This Row],[Product]])&gt;15,LEFT(TblOrderRec[[#This Row],[Product]],12)&amp;"…",TblOrderRec[[#This Row],[Product]])</f>
        <v>Cheez-It Cra…</v>
      </c>
      <c r="E16">
        <f>_xlfn.XLOOKUP(TblOrderRec[[#This Row],[Product ID]],tblProduct[product_id],tblProduct[purchase_unit_size])</f>
        <v>24</v>
      </c>
      <c r="F16" cm="1">
        <f t="array" ref="F16">_xlfn.XLOOKUP(TblOrderRec[[#This Row],[Product ID]]&amp;tblOrderReportPeriod[Period Start Date],tblInventorySnapshot[product_id]&amp;tblInventorySnapshot[snapshot_date],tblInventorySnapshot[qty_on_hand])</f>
        <v>20</v>
      </c>
      <c r="G16" cm="1">
        <f t="array" ref="G16">SUMIFS(tblPurchases[total_qty_purchased],
tblPurchases[product_id],TblOrderRec[[#This Row],[Product ID]],
tblPurchases[received_date],"&gt;="&amp;tblOrderReportPeriod[Period Start Date],
tblPurchases[received_date],"&lt;="&amp;tblOrderReportPeriod[Period End Date])</f>
        <v>24</v>
      </c>
      <c r="H16" cm="1">
        <f t="array" ref="H16">SUMIFS(tblSales[quantity],
tblSales[product_id],TblOrderRec[[#This Row],[Product ID]],
tblSales[sale_date],"&gt;="&amp;tblOrderReportPeriod[Period Start Date],
tblSales[sale_date],"&lt;="&amp;tblOrderReportPeriod[Period End Date])</f>
        <v>18</v>
      </c>
      <c r="I16">
        <f>TblOrderRec[[#This Row],[Beg QTY]]+TblOrderRec[[#This Row],[Purchased]]-TblOrderRec[[#This Row],[Sold (SORT DESC)]]</f>
        <v>26</v>
      </c>
      <c r="J16" s="2" cm="1">
        <f t="array" ref="J16">TblOrderRec[[#This Row],[Sold (SORT DESC)]]/tblOrderReportPeriod[Total Elapsed Days]</f>
        <v>0.51428571428571423</v>
      </c>
      <c r="K16" s="2">
        <f>TblOrderRec[[#This Row],[Daily Velocity]]*7</f>
        <v>3.5999999999999996</v>
      </c>
      <c r="L16" s="4">
        <f>_xlfn.FLOOR.MATH(TblOrderRec[[#This Row],[End QTY]]/TblOrderRec[[#This Row],[Daily Velocity]])</f>
        <v>50</v>
      </c>
      <c r="M16" s="12" cm="1">
        <f t="array" ref="M16">tblOrderReportPeriod[Period End Date]+TblOrderRec[[#This Row],[Current Days of Inventory]]</f>
        <v>46106</v>
      </c>
      <c r="N16" s="15">
        <f>TblOrderRec[[#This Row],[Sold (SORT DESC)]]/SUM(TblOrderRec[Sold (SORT DESC)])</f>
        <v>2.197802197802198E-2</v>
      </c>
      <c r="O16" s="5">
        <f>SUM($N$2:N16)</f>
        <v>0.88888888888888884</v>
      </c>
      <c r="P16" s="5" t="str" cm="1">
        <f t="array" ref="P16">_xlfn.IFS(TblOrderRec[[#This Row],[Running Total of % of Sales]]&lt;=0.8,"A – Top Sellers",
TblOrderRec[[#This Row],[Running Total of % of Sales]]&lt;=0.95,"B – Mid Sellers",
TRUE,"C – Low Sellers"
)</f>
        <v>B – Mid Sellers</v>
      </c>
      <c r="Q16" s="4" cm="1">
        <f t="array" ref="Q16">_xlfn.IFS(
TblOrderRec[[#This Row],[Running Total of % of Sales]]&lt;=0.8, 14+tblOrderReportPeriod[Days Between Deliveries],
TblOrderRec[[#This Row],[Running Total of % of Sales]]&lt;=0.95, 7+tblOrderReportPeriod[Days Between Deliveries],
TRUE,tblOrderReportPeriod[Days Between Deliveries]
)</f>
        <v>21</v>
      </c>
      <c r="R16" s="4" cm="1">
        <f t="array" ref="R16">IF(TblOrderRec[[#This Row],[End QTY]]-_xlfn.CEILING.MATH((tblOrderReportPeriod[Lead Time]*TblOrderRec[[#This Row],[Daily Velocity]]))&gt;=0,TblOrderRec[[#This Row],[End QTY]]-_xlfn.CEILING.MATH((tblOrderReportPeriod[Lead Time]*TblOrderRec[[#This Row],[Daily Velocity]])),0)</f>
        <v>22</v>
      </c>
      <c r="S16" s="4">
        <f>_xlfn.CEILING.MATH(TblOrderRec[[#This Row],[Daily Velocity]]*TblOrderRec[[#This Row],[Target Days of Supply After Delivery]])</f>
        <v>11</v>
      </c>
      <c r="T16" s="4">
        <f>MAX(TblOrderRec[[#This Row],[Target Inventory after Delivery]]-TblOrderRec[[#This Row],[Inventory at Delivery]],0)</f>
        <v>0</v>
      </c>
      <c r="U16" s="4">
        <f>ROUNDUP(TblOrderRec[[#This Row],[Units to Order]]/TblOrderRec[[#This Row],[Purchase Unit Size]],0)</f>
        <v>0</v>
      </c>
      <c r="V16" s="4">
        <f>TblOrderRec[[#This Row],[Inventory at Delivery]]+(TblOrderRec[[#This Row],[Purchase Units to Order]]*TblOrderRec[[#This Row],[Purchase Unit Size]])</f>
        <v>22</v>
      </c>
      <c r="W16" s="11">
        <f>IFERROR(ROUNDDOWN(TblOrderRec[[#This Row],[Projected QTY on Hand after Delivery]]/TblOrderRec[[#This Row],[Daily Velocity]],0),"NULL")</f>
        <v>42</v>
      </c>
      <c r="X16" s="12" cm="1">
        <f t="array" ref="X16">IF(TblOrderRec[[#This Row],[Units to Order]]=0,TblOrderRec[[#This Row],[Current Depletion Date]],tblOrderReportPeriod[Order Delivery Date]+TblOrderRec[[#This Row],[Projected Days Until Depleted]])</f>
        <v>46106</v>
      </c>
    </row>
    <row r="17" spans="1:24" x14ac:dyDescent="0.25">
      <c r="A17" s="17">
        <v>5619128</v>
      </c>
      <c r="B17" t="str">
        <f>_xlfn.XLOOKUP(TblOrderRec[[#This Row],[Product ID]],tblProduct[product_id],tblProduct[category])</f>
        <v>snack</v>
      </c>
      <c r="C17" t="str">
        <f>_xlfn.XLOOKUP(TblOrderRec[[#This Row],[Product ID]],tblProduct[product_id],tblProduct[product_name])</f>
        <v>Doritos Nacho Cheese</v>
      </c>
      <c r="D17" t="str">
        <f>IF(LEN(TblOrderRec[[#This Row],[Product]])&gt;15,LEFT(TblOrderRec[[#This Row],[Product]],12)&amp;"…",TblOrderRec[[#This Row],[Product]])</f>
        <v>Doritos Nach…</v>
      </c>
      <c r="E17">
        <f>_xlfn.XLOOKUP(TblOrderRec[[#This Row],[Product ID]],tblProduct[product_id],tblProduct[purchase_unit_size])</f>
        <v>24</v>
      </c>
      <c r="F17" cm="1">
        <f t="array" ref="F17">_xlfn.XLOOKUP(TblOrderRec[[#This Row],[Product ID]]&amp;tblOrderReportPeriod[Period Start Date],tblInventorySnapshot[product_id]&amp;tblInventorySnapshot[snapshot_date],tblInventorySnapshot[qty_on_hand])</f>
        <v>25</v>
      </c>
      <c r="G17" cm="1">
        <f t="array" ref="G17">SUMIFS(tblPurchases[total_qty_purchased],
tblPurchases[product_id],TblOrderRec[[#This Row],[Product ID]],
tblPurchases[received_date],"&gt;="&amp;tblOrderReportPeriod[Period Start Date],
tblPurchases[received_date],"&lt;="&amp;tblOrderReportPeriod[Period End Date])</f>
        <v>0</v>
      </c>
      <c r="H17" cm="1">
        <f t="array" ref="H17">SUMIFS(tblSales[quantity],
tblSales[product_id],TblOrderRec[[#This Row],[Product ID]],
tblSales[sale_date],"&gt;="&amp;tblOrderReportPeriod[Period Start Date],
tblSales[sale_date],"&lt;="&amp;tblOrderReportPeriod[Period End Date])</f>
        <v>13</v>
      </c>
      <c r="I17">
        <f>TblOrderRec[[#This Row],[Beg QTY]]+TblOrderRec[[#This Row],[Purchased]]-TblOrderRec[[#This Row],[Sold (SORT DESC)]]</f>
        <v>12</v>
      </c>
      <c r="J17" s="2" cm="1">
        <f t="array" ref="J17">TblOrderRec[[#This Row],[Sold (SORT DESC)]]/tblOrderReportPeriod[Total Elapsed Days]</f>
        <v>0.37142857142857144</v>
      </c>
      <c r="K17" s="2">
        <f>TblOrderRec[[#This Row],[Daily Velocity]]*7</f>
        <v>2.6</v>
      </c>
      <c r="L17" s="4">
        <f>_xlfn.FLOOR.MATH(TblOrderRec[[#This Row],[End QTY]]/TblOrderRec[[#This Row],[Daily Velocity]])</f>
        <v>32</v>
      </c>
      <c r="M17" s="12" cm="1">
        <f t="array" ref="M17">tblOrderReportPeriod[Period End Date]+TblOrderRec[[#This Row],[Current Days of Inventory]]</f>
        <v>46088</v>
      </c>
      <c r="N17" s="15">
        <f>TblOrderRec[[#This Row],[Sold (SORT DESC)]]/SUM(TblOrderRec[Sold (SORT DESC)])</f>
        <v>1.5873015873015872E-2</v>
      </c>
      <c r="O17" s="5">
        <f>SUM($N$2:N17)</f>
        <v>0.90476190476190466</v>
      </c>
      <c r="P17" s="5" t="str" cm="1">
        <f t="array" ref="P17">_xlfn.IFS(TblOrderRec[[#This Row],[Running Total of % of Sales]]&lt;=0.8,"A – Top Sellers",
TblOrderRec[[#This Row],[Running Total of % of Sales]]&lt;=0.95,"B – Mid Sellers",
TRUE,"C – Low Sellers"
)</f>
        <v>B – Mid Sellers</v>
      </c>
      <c r="Q17" s="4" cm="1">
        <f t="array" ref="Q17">_xlfn.IFS(
TblOrderRec[[#This Row],[Running Total of % of Sales]]&lt;=0.8, 14+tblOrderReportPeriod[Days Between Deliveries],
TblOrderRec[[#This Row],[Running Total of % of Sales]]&lt;=0.95, 7+tblOrderReportPeriod[Days Between Deliveries],
TRUE,tblOrderReportPeriod[Days Between Deliveries]
)</f>
        <v>21</v>
      </c>
      <c r="R17" s="4" cm="1">
        <f t="array" ref="R17">IF(TblOrderRec[[#This Row],[End QTY]]-_xlfn.CEILING.MATH((tblOrderReportPeriod[Lead Time]*TblOrderRec[[#This Row],[Daily Velocity]]))&gt;=0,TblOrderRec[[#This Row],[End QTY]]-_xlfn.CEILING.MATH((tblOrderReportPeriod[Lead Time]*TblOrderRec[[#This Row],[Daily Velocity]])),0)</f>
        <v>9</v>
      </c>
      <c r="S17" s="4">
        <f>_xlfn.CEILING.MATH(TblOrderRec[[#This Row],[Daily Velocity]]*TblOrderRec[[#This Row],[Target Days of Supply After Delivery]])</f>
        <v>8</v>
      </c>
      <c r="T17" s="4">
        <f>MAX(TblOrderRec[[#This Row],[Target Inventory after Delivery]]-TblOrderRec[[#This Row],[Inventory at Delivery]],0)</f>
        <v>0</v>
      </c>
      <c r="U17" s="4">
        <f>ROUNDUP(TblOrderRec[[#This Row],[Units to Order]]/TblOrderRec[[#This Row],[Purchase Unit Size]],0)</f>
        <v>0</v>
      </c>
      <c r="V17" s="4">
        <f>TblOrderRec[[#This Row],[Inventory at Delivery]]+(TblOrderRec[[#This Row],[Purchase Units to Order]]*TblOrderRec[[#This Row],[Purchase Unit Size]])</f>
        <v>9</v>
      </c>
      <c r="W17" s="11">
        <f>IFERROR(ROUNDDOWN(TblOrderRec[[#This Row],[Projected QTY on Hand after Delivery]]/TblOrderRec[[#This Row],[Daily Velocity]],0),"NULL")</f>
        <v>24</v>
      </c>
      <c r="X17" s="12" cm="1">
        <f t="array" ref="X17">IF(TblOrderRec[[#This Row],[Units to Order]]=0,TblOrderRec[[#This Row],[Current Depletion Date]],tblOrderReportPeriod[Order Delivery Date]+TblOrderRec[[#This Row],[Projected Days Until Depleted]])</f>
        <v>46088</v>
      </c>
    </row>
    <row r="18" spans="1:24" x14ac:dyDescent="0.25">
      <c r="A18" s="17">
        <v>6828260</v>
      </c>
      <c r="B18" t="str">
        <f>_xlfn.XLOOKUP(TblOrderRec[[#This Row],[Product ID]],tblProduct[product_id],tblProduct[category])</f>
        <v>candy</v>
      </c>
      <c r="C18" t="str">
        <f>_xlfn.XLOOKUP(TblOrderRec[[#This Row],[Product ID]],tblProduct[product_id],tblProduct[product_name])</f>
        <v>Reese's Peanut Butter Cups</v>
      </c>
      <c r="D18" t="str">
        <f>IF(LEN(TblOrderRec[[#This Row],[Product]])&gt;15,LEFT(TblOrderRec[[#This Row],[Product]],12)&amp;"…",TblOrderRec[[#This Row],[Product]])</f>
        <v>Reese's Pean…</v>
      </c>
      <c r="E18">
        <f>_xlfn.XLOOKUP(TblOrderRec[[#This Row],[Product ID]],tblProduct[product_id],tblProduct[purchase_unit_size])</f>
        <v>28</v>
      </c>
      <c r="F18" cm="1">
        <f t="array" ref="F18">_xlfn.XLOOKUP(TblOrderRec[[#This Row],[Product ID]]&amp;tblOrderReportPeriod[Period Start Date],tblInventorySnapshot[product_id]&amp;tblInventorySnapshot[snapshot_date],tblInventorySnapshot[qty_on_hand])</f>
        <v>13</v>
      </c>
      <c r="G18" cm="1">
        <f t="array" ref="G18">SUMIFS(tblPurchases[total_qty_purchased],
tblPurchases[product_id],TblOrderRec[[#This Row],[Product ID]],
tblPurchases[received_date],"&gt;="&amp;tblOrderReportPeriod[Period Start Date],
tblPurchases[received_date],"&lt;="&amp;tblOrderReportPeriod[Period End Date])</f>
        <v>28</v>
      </c>
      <c r="H18" cm="1">
        <f t="array" ref="H18">SUMIFS(tblSales[quantity],
tblSales[product_id],TblOrderRec[[#This Row],[Product ID]],
tblSales[sale_date],"&gt;="&amp;tblOrderReportPeriod[Period Start Date],
tblSales[sale_date],"&lt;="&amp;tblOrderReportPeriod[Period End Date])</f>
        <v>12</v>
      </c>
      <c r="I18">
        <f>TblOrderRec[[#This Row],[Beg QTY]]+TblOrderRec[[#This Row],[Purchased]]-TblOrderRec[[#This Row],[Sold (SORT DESC)]]</f>
        <v>29</v>
      </c>
      <c r="J18" s="2" cm="1">
        <f t="array" ref="J18">TblOrderRec[[#This Row],[Sold (SORT DESC)]]/tblOrderReportPeriod[Total Elapsed Days]</f>
        <v>0.34285714285714286</v>
      </c>
      <c r="K18" s="2">
        <f>TblOrderRec[[#This Row],[Daily Velocity]]*7</f>
        <v>2.4</v>
      </c>
      <c r="L18" s="4">
        <f>_xlfn.FLOOR.MATH(TblOrderRec[[#This Row],[End QTY]]/TblOrderRec[[#This Row],[Daily Velocity]])</f>
        <v>84</v>
      </c>
      <c r="M18" s="12" cm="1">
        <f t="array" ref="M18">tblOrderReportPeriod[Period End Date]+TblOrderRec[[#This Row],[Current Days of Inventory]]</f>
        <v>46140</v>
      </c>
      <c r="N18" s="15">
        <f>TblOrderRec[[#This Row],[Sold (SORT DESC)]]/SUM(TblOrderRec[Sold (SORT DESC)])</f>
        <v>1.4652014652014652E-2</v>
      </c>
      <c r="O18" s="5">
        <f>SUM($N$2:N18)</f>
        <v>0.91941391941391926</v>
      </c>
      <c r="P18" s="5" t="str" cm="1">
        <f t="array" ref="P18">_xlfn.IFS(TblOrderRec[[#This Row],[Running Total of % of Sales]]&lt;=0.8,"A – Top Sellers",
TblOrderRec[[#This Row],[Running Total of % of Sales]]&lt;=0.95,"B – Mid Sellers",
TRUE,"C – Low Sellers"
)</f>
        <v>B – Mid Sellers</v>
      </c>
      <c r="Q18" s="4" cm="1">
        <f t="array" ref="Q18">_xlfn.IFS(
TblOrderRec[[#This Row],[Running Total of % of Sales]]&lt;=0.8, 14+tblOrderReportPeriod[Days Between Deliveries],
TblOrderRec[[#This Row],[Running Total of % of Sales]]&lt;=0.95, 7+tblOrderReportPeriod[Days Between Deliveries],
TRUE,tblOrderReportPeriod[Days Between Deliveries]
)</f>
        <v>21</v>
      </c>
      <c r="R18" s="4" cm="1">
        <f t="array" ref="R18">IF(TblOrderRec[[#This Row],[End QTY]]-_xlfn.CEILING.MATH((tblOrderReportPeriod[Lead Time]*TblOrderRec[[#This Row],[Daily Velocity]]))&gt;=0,TblOrderRec[[#This Row],[End QTY]]-_xlfn.CEILING.MATH((tblOrderReportPeriod[Lead Time]*TblOrderRec[[#This Row],[Daily Velocity]])),0)</f>
        <v>26</v>
      </c>
      <c r="S18" s="4">
        <f>_xlfn.CEILING.MATH(TblOrderRec[[#This Row],[Daily Velocity]]*TblOrderRec[[#This Row],[Target Days of Supply After Delivery]])</f>
        <v>8</v>
      </c>
      <c r="T18" s="4">
        <f>MAX(TblOrderRec[[#This Row],[Target Inventory after Delivery]]-TblOrderRec[[#This Row],[Inventory at Delivery]],0)</f>
        <v>0</v>
      </c>
      <c r="U18" s="4">
        <f>ROUNDUP(TblOrderRec[[#This Row],[Units to Order]]/TblOrderRec[[#This Row],[Purchase Unit Size]],0)</f>
        <v>0</v>
      </c>
      <c r="V18" s="4">
        <f>TblOrderRec[[#This Row],[Inventory at Delivery]]+(TblOrderRec[[#This Row],[Purchase Units to Order]]*TblOrderRec[[#This Row],[Purchase Unit Size]])</f>
        <v>26</v>
      </c>
      <c r="W18" s="11">
        <f>IFERROR(ROUNDDOWN(TblOrderRec[[#This Row],[Projected QTY on Hand after Delivery]]/TblOrderRec[[#This Row],[Daily Velocity]],0),"NULL")</f>
        <v>75</v>
      </c>
      <c r="X18" s="12" cm="1">
        <f t="array" ref="X18">IF(TblOrderRec[[#This Row],[Units to Order]]=0,TblOrderRec[[#This Row],[Current Depletion Date]],tblOrderReportPeriod[Order Delivery Date]+TblOrderRec[[#This Row],[Projected Days Until Depleted]])</f>
        <v>46140</v>
      </c>
    </row>
    <row r="19" spans="1:24" x14ac:dyDescent="0.25">
      <c r="A19" s="17">
        <v>5624747</v>
      </c>
      <c r="B19" t="str">
        <f>_xlfn.XLOOKUP(TblOrderRec[[#This Row],[Product ID]],tblProduct[product_id],tblProduct[category])</f>
        <v>candy</v>
      </c>
      <c r="C19" t="str">
        <f>_xlfn.XLOOKUP(TblOrderRec[[#This Row],[Product ID]],tblProduct[product_id],tblProduct[product_name])</f>
        <v>Starburst</v>
      </c>
      <c r="D19" t="str">
        <f>IF(LEN(TblOrderRec[[#This Row],[Product]])&gt;15,LEFT(TblOrderRec[[#This Row],[Product]],12)&amp;"…",TblOrderRec[[#This Row],[Product]])</f>
        <v>Starburst</v>
      </c>
      <c r="E19">
        <f>_xlfn.XLOOKUP(TblOrderRec[[#This Row],[Product ID]],tblProduct[product_id],tblProduct[purchase_unit_size])</f>
        <v>28</v>
      </c>
      <c r="F19" cm="1">
        <f t="array" ref="F19">_xlfn.XLOOKUP(TblOrderRec[[#This Row],[Product ID]]&amp;tblOrderReportPeriod[Period Start Date],tblInventorySnapshot[product_id]&amp;tblInventorySnapshot[snapshot_date],tblInventorySnapshot[qty_on_hand])</f>
        <v>12</v>
      </c>
      <c r="G19" cm="1">
        <f t="array" ref="G19">SUMIFS(tblPurchases[total_qty_purchased],
tblPurchases[product_id],TblOrderRec[[#This Row],[Product ID]],
tblPurchases[received_date],"&gt;="&amp;tblOrderReportPeriod[Period Start Date],
tblPurchases[received_date],"&lt;="&amp;tblOrderReportPeriod[Period End Date])</f>
        <v>28</v>
      </c>
      <c r="H19" cm="1">
        <f t="array" ref="H19">SUMIFS(tblSales[quantity],
tblSales[product_id],TblOrderRec[[#This Row],[Product ID]],
tblSales[sale_date],"&gt;="&amp;tblOrderReportPeriod[Period Start Date],
tblSales[sale_date],"&lt;="&amp;tblOrderReportPeriod[Period End Date])</f>
        <v>11</v>
      </c>
      <c r="I19">
        <f>TblOrderRec[[#This Row],[Beg QTY]]+TblOrderRec[[#This Row],[Purchased]]-TblOrderRec[[#This Row],[Sold (SORT DESC)]]</f>
        <v>29</v>
      </c>
      <c r="J19" s="2" cm="1">
        <f t="array" ref="J19">TblOrderRec[[#This Row],[Sold (SORT DESC)]]/tblOrderReportPeriod[Total Elapsed Days]</f>
        <v>0.31428571428571428</v>
      </c>
      <c r="K19" s="2">
        <f>TblOrderRec[[#This Row],[Daily Velocity]]*7</f>
        <v>2.2000000000000002</v>
      </c>
      <c r="L19" s="4">
        <f>_xlfn.FLOOR.MATH(TblOrderRec[[#This Row],[End QTY]]/TblOrderRec[[#This Row],[Daily Velocity]])</f>
        <v>92</v>
      </c>
      <c r="M19" s="12" cm="1">
        <f t="array" ref="M19">tblOrderReportPeriod[Period End Date]+TblOrderRec[[#This Row],[Current Days of Inventory]]</f>
        <v>46148</v>
      </c>
      <c r="N19" s="15">
        <f>TblOrderRec[[#This Row],[Sold (SORT DESC)]]/SUM(TblOrderRec[Sold (SORT DESC)])</f>
        <v>1.3431013431013432E-2</v>
      </c>
      <c r="O19" s="5">
        <f>SUM($N$2:N19)</f>
        <v>0.93284493284493264</v>
      </c>
      <c r="P19" s="5" t="str" cm="1">
        <f t="array" ref="P19">_xlfn.IFS(TblOrderRec[[#This Row],[Running Total of % of Sales]]&lt;=0.8,"A – Top Sellers",
TblOrderRec[[#This Row],[Running Total of % of Sales]]&lt;=0.95,"B – Mid Sellers",
TRUE,"C – Low Sellers"
)</f>
        <v>B – Mid Sellers</v>
      </c>
      <c r="Q19" s="4" cm="1">
        <f t="array" ref="Q19">_xlfn.IFS(
TblOrderRec[[#This Row],[Running Total of % of Sales]]&lt;=0.8, 14+tblOrderReportPeriod[Days Between Deliveries],
TblOrderRec[[#This Row],[Running Total of % of Sales]]&lt;=0.95, 7+tblOrderReportPeriod[Days Between Deliveries],
TRUE,tblOrderReportPeriod[Days Between Deliveries]
)</f>
        <v>21</v>
      </c>
      <c r="R19" s="4" cm="1">
        <f t="array" ref="R19">IF(TblOrderRec[[#This Row],[End QTY]]-_xlfn.CEILING.MATH((tblOrderReportPeriod[Lead Time]*TblOrderRec[[#This Row],[Daily Velocity]]))&gt;=0,TblOrderRec[[#This Row],[End QTY]]-_xlfn.CEILING.MATH((tblOrderReportPeriod[Lead Time]*TblOrderRec[[#This Row],[Daily Velocity]])),0)</f>
        <v>27</v>
      </c>
      <c r="S19" s="4">
        <f>_xlfn.CEILING.MATH(TblOrderRec[[#This Row],[Daily Velocity]]*TblOrderRec[[#This Row],[Target Days of Supply After Delivery]])</f>
        <v>7</v>
      </c>
      <c r="T19" s="4">
        <f>MAX(TblOrderRec[[#This Row],[Target Inventory after Delivery]]-TblOrderRec[[#This Row],[Inventory at Delivery]],0)</f>
        <v>0</v>
      </c>
      <c r="U19" s="4">
        <f>ROUNDUP(TblOrderRec[[#This Row],[Units to Order]]/TblOrderRec[[#This Row],[Purchase Unit Size]],0)</f>
        <v>0</v>
      </c>
      <c r="V19" s="4">
        <f>TblOrderRec[[#This Row],[Inventory at Delivery]]+(TblOrderRec[[#This Row],[Purchase Units to Order]]*TblOrderRec[[#This Row],[Purchase Unit Size]])</f>
        <v>27</v>
      </c>
      <c r="W19" s="11">
        <f>IFERROR(ROUNDDOWN(TblOrderRec[[#This Row],[Projected QTY on Hand after Delivery]]/TblOrderRec[[#This Row],[Daily Velocity]],0),"NULL")</f>
        <v>85</v>
      </c>
      <c r="X19" s="12" cm="1">
        <f t="array" ref="X19">IF(TblOrderRec[[#This Row],[Units to Order]]=0,TblOrderRec[[#This Row],[Current Depletion Date]],tblOrderReportPeriod[Order Delivery Date]+TblOrderRec[[#This Row],[Projected Days Until Depleted]])</f>
        <v>46148</v>
      </c>
    </row>
    <row r="20" spans="1:24" x14ac:dyDescent="0.25">
      <c r="A20" s="17">
        <v>2012714</v>
      </c>
      <c r="B20" t="str">
        <f>_xlfn.XLOOKUP(TblOrderRec[[#This Row],[Product ID]],tblProduct[product_id],tblProduct[category])</f>
        <v>snack</v>
      </c>
      <c r="C20" t="str">
        <f>_xlfn.XLOOKUP(TblOrderRec[[#This Row],[Product ID]],tblProduct[product_id],tblProduct[product_name])</f>
        <v>Wheat Thins</v>
      </c>
      <c r="D20" t="str">
        <f>IF(LEN(TblOrderRec[[#This Row],[Product]])&gt;15,LEFT(TblOrderRec[[#This Row],[Product]],12)&amp;"…",TblOrderRec[[#This Row],[Product]])</f>
        <v>Wheat Thins</v>
      </c>
      <c r="E20">
        <f>_xlfn.XLOOKUP(TblOrderRec[[#This Row],[Product ID]],tblProduct[product_id],tblProduct[purchase_unit_size])</f>
        <v>24</v>
      </c>
      <c r="F20" cm="1">
        <f t="array" ref="F20">_xlfn.XLOOKUP(TblOrderRec[[#This Row],[Product ID]]&amp;tblOrderReportPeriod[Period Start Date],tblInventorySnapshot[product_id]&amp;tblInventorySnapshot[snapshot_date],tblInventorySnapshot[qty_on_hand])</f>
        <v>14</v>
      </c>
      <c r="G20" cm="1">
        <f t="array" ref="G20">SUMIFS(tblPurchases[total_qty_purchased],
tblPurchases[product_id],TblOrderRec[[#This Row],[Product ID]],
tblPurchases[received_date],"&gt;="&amp;tblOrderReportPeriod[Period Start Date],
tblPurchases[received_date],"&lt;="&amp;tblOrderReportPeriod[Period End Date])</f>
        <v>0</v>
      </c>
      <c r="H20" cm="1">
        <f t="array" ref="H20">SUMIFS(tblSales[quantity],
tblSales[product_id],TblOrderRec[[#This Row],[Product ID]],
tblSales[sale_date],"&gt;="&amp;tblOrderReportPeriod[Period Start Date],
tblSales[sale_date],"&lt;="&amp;tblOrderReportPeriod[Period End Date])</f>
        <v>10</v>
      </c>
      <c r="I20">
        <f>TblOrderRec[[#This Row],[Beg QTY]]+TblOrderRec[[#This Row],[Purchased]]-TblOrderRec[[#This Row],[Sold (SORT DESC)]]</f>
        <v>4</v>
      </c>
      <c r="J20" s="2" cm="1">
        <f t="array" ref="J20">TblOrderRec[[#This Row],[Sold (SORT DESC)]]/tblOrderReportPeriod[Total Elapsed Days]</f>
        <v>0.2857142857142857</v>
      </c>
      <c r="K20" s="2">
        <f>TblOrderRec[[#This Row],[Daily Velocity]]*7</f>
        <v>2</v>
      </c>
      <c r="L20" s="4">
        <f>_xlfn.FLOOR.MATH(TblOrderRec[[#This Row],[End QTY]]/TblOrderRec[[#This Row],[Daily Velocity]])</f>
        <v>14</v>
      </c>
      <c r="M20" s="12" cm="1">
        <f t="array" ref="M20">tblOrderReportPeriod[Period End Date]+TblOrderRec[[#This Row],[Current Days of Inventory]]</f>
        <v>46070</v>
      </c>
      <c r="N20" s="15">
        <f>TblOrderRec[[#This Row],[Sold (SORT DESC)]]/SUM(TblOrderRec[Sold (SORT DESC)])</f>
        <v>1.221001221001221E-2</v>
      </c>
      <c r="O20" s="5">
        <f>SUM($N$2:N20)</f>
        <v>0.94505494505494481</v>
      </c>
      <c r="P20" s="5" t="str" cm="1">
        <f t="array" ref="P20">_xlfn.IFS(TblOrderRec[[#This Row],[Running Total of % of Sales]]&lt;=0.8,"A – Top Sellers",
TblOrderRec[[#This Row],[Running Total of % of Sales]]&lt;=0.95,"B – Mid Sellers",
TRUE,"C – Low Sellers"
)</f>
        <v>B – Mid Sellers</v>
      </c>
      <c r="Q20" s="4" cm="1">
        <f t="array" ref="Q20">_xlfn.IFS(
TblOrderRec[[#This Row],[Running Total of % of Sales]]&lt;=0.8, 14+tblOrderReportPeriod[Days Between Deliveries],
TblOrderRec[[#This Row],[Running Total of % of Sales]]&lt;=0.95, 7+tblOrderReportPeriod[Days Between Deliveries],
TRUE,tblOrderReportPeriod[Days Between Deliveries]
)</f>
        <v>21</v>
      </c>
      <c r="R20" s="4" cm="1">
        <f t="array" ref="R20">IF(TblOrderRec[[#This Row],[End QTY]]-_xlfn.CEILING.MATH((tblOrderReportPeriod[Lead Time]*TblOrderRec[[#This Row],[Daily Velocity]]))&gt;=0,TblOrderRec[[#This Row],[End QTY]]-_xlfn.CEILING.MATH((tblOrderReportPeriod[Lead Time]*TblOrderRec[[#This Row],[Daily Velocity]])),0)</f>
        <v>2</v>
      </c>
      <c r="S20" s="4">
        <f>_xlfn.CEILING.MATH(TblOrderRec[[#This Row],[Daily Velocity]]*TblOrderRec[[#This Row],[Target Days of Supply After Delivery]])</f>
        <v>6</v>
      </c>
      <c r="T20" s="4">
        <f>MAX(TblOrderRec[[#This Row],[Target Inventory after Delivery]]-TblOrderRec[[#This Row],[Inventory at Delivery]],0)</f>
        <v>4</v>
      </c>
      <c r="U20" s="4">
        <f>ROUNDUP(TblOrderRec[[#This Row],[Units to Order]]/TblOrderRec[[#This Row],[Purchase Unit Size]],0)</f>
        <v>1</v>
      </c>
      <c r="V20" s="4">
        <f>TblOrderRec[[#This Row],[Inventory at Delivery]]+(TblOrderRec[[#This Row],[Purchase Units to Order]]*TblOrderRec[[#This Row],[Purchase Unit Size]])</f>
        <v>26</v>
      </c>
      <c r="W20" s="11">
        <f>IFERROR(ROUNDDOWN(TblOrderRec[[#This Row],[Projected QTY on Hand after Delivery]]/TblOrderRec[[#This Row],[Daily Velocity]],0),"NULL")</f>
        <v>91</v>
      </c>
      <c r="X20" s="12" cm="1">
        <f t="array" ref="X20">IF(TblOrderRec[[#This Row],[Units to Order]]=0,TblOrderRec[[#This Row],[Current Depletion Date]],tblOrderReportPeriod[Order Delivery Date]+TblOrderRec[[#This Row],[Projected Days Until Depleted]])</f>
        <v>46153</v>
      </c>
    </row>
    <row r="21" spans="1:24" x14ac:dyDescent="0.25">
      <c r="A21" s="17">
        <v>8551457</v>
      </c>
      <c r="B21" t="str">
        <f>_xlfn.XLOOKUP(TblOrderRec[[#This Row],[Product ID]],tblProduct[product_id],tblProduct[category])</f>
        <v>snack</v>
      </c>
      <c r="C21" t="str">
        <f>_xlfn.XLOOKUP(TblOrderRec[[#This Row],[Product ID]],tblProduct[product_id],tblProduct[product_name])</f>
        <v>Snyderâ€™s Pretzels</v>
      </c>
      <c r="D21" t="str">
        <f>IF(LEN(TblOrderRec[[#This Row],[Product]])&gt;15,LEFT(TblOrderRec[[#This Row],[Product]],12)&amp;"…",TblOrderRec[[#This Row],[Product]])</f>
        <v>Snyderâ€™s P…</v>
      </c>
      <c r="E21">
        <f>_xlfn.XLOOKUP(TblOrderRec[[#This Row],[Product ID]],tblProduct[product_id],tblProduct[purchase_unit_size])</f>
        <v>24</v>
      </c>
      <c r="F21" cm="1">
        <f t="array" ref="F21">_xlfn.XLOOKUP(TblOrderRec[[#This Row],[Product ID]]&amp;tblOrderReportPeriod[Period Start Date],tblInventorySnapshot[product_id]&amp;tblInventorySnapshot[snapshot_date],tblInventorySnapshot[qty_on_hand])</f>
        <v>21</v>
      </c>
      <c r="G21" cm="1">
        <f t="array" ref="G21">SUMIFS(tblPurchases[total_qty_purchased],
tblPurchases[product_id],TblOrderRec[[#This Row],[Product ID]],
tblPurchases[received_date],"&gt;="&amp;tblOrderReportPeriod[Period Start Date],
tblPurchases[received_date],"&lt;="&amp;tblOrderReportPeriod[Period End Date])</f>
        <v>0</v>
      </c>
      <c r="H21" cm="1">
        <f t="array" ref="H21">SUMIFS(tblSales[quantity],
tblSales[product_id],TblOrderRec[[#This Row],[Product ID]],
tblSales[sale_date],"&gt;="&amp;tblOrderReportPeriod[Period Start Date],
tblSales[sale_date],"&lt;="&amp;tblOrderReportPeriod[Period End Date])</f>
        <v>9</v>
      </c>
      <c r="I21">
        <f>TblOrderRec[[#This Row],[Beg QTY]]+TblOrderRec[[#This Row],[Purchased]]-TblOrderRec[[#This Row],[Sold (SORT DESC)]]</f>
        <v>12</v>
      </c>
      <c r="J21" s="2" cm="1">
        <f t="array" ref="J21">TblOrderRec[[#This Row],[Sold (SORT DESC)]]/tblOrderReportPeriod[Total Elapsed Days]</f>
        <v>0.25714285714285712</v>
      </c>
      <c r="K21" s="2">
        <f>TblOrderRec[[#This Row],[Daily Velocity]]*7</f>
        <v>1.7999999999999998</v>
      </c>
      <c r="L21" s="4">
        <f>_xlfn.FLOOR.MATH(TblOrderRec[[#This Row],[End QTY]]/TblOrderRec[[#This Row],[Daily Velocity]])</f>
        <v>46</v>
      </c>
      <c r="M21" s="12" cm="1">
        <f t="array" ref="M21">tblOrderReportPeriod[Period End Date]+TblOrderRec[[#This Row],[Current Days of Inventory]]</f>
        <v>46102</v>
      </c>
      <c r="N21" s="15">
        <f>TblOrderRec[[#This Row],[Sold (SORT DESC)]]/SUM(TblOrderRec[Sold (SORT DESC)])</f>
        <v>1.098901098901099E-2</v>
      </c>
      <c r="O21" s="5">
        <f>SUM($N$2:N21)</f>
        <v>0.95604395604395576</v>
      </c>
      <c r="P21" s="5" t="str" cm="1">
        <f t="array" ref="P21">_xlfn.IFS(TblOrderRec[[#This Row],[Running Total of % of Sales]]&lt;=0.8,"A – Top Sellers",
TblOrderRec[[#This Row],[Running Total of % of Sales]]&lt;=0.95,"B – Mid Sellers",
TRUE,"C – Low Sellers"
)</f>
        <v>C – Low Sellers</v>
      </c>
      <c r="Q21" s="4" cm="1">
        <f t="array" ref="Q21">_xlfn.IFS(
TblOrderRec[[#This Row],[Running Total of % of Sales]]&lt;=0.8, 14+tblOrderReportPeriod[Days Between Deliveries],
TblOrderRec[[#This Row],[Running Total of % of Sales]]&lt;=0.95, 7+tblOrderReportPeriod[Days Between Deliveries],
TRUE,tblOrderReportPeriod[Days Between Deliveries]
)</f>
        <v>14</v>
      </c>
      <c r="R21" s="4" cm="1">
        <f t="array" ref="R21">IF(TblOrderRec[[#This Row],[End QTY]]-_xlfn.CEILING.MATH((tblOrderReportPeriod[Lead Time]*TblOrderRec[[#This Row],[Daily Velocity]]))&gt;=0,TblOrderRec[[#This Row],[End QTY]]-_xlfn.CEILING.MATH((tblOrderReportPeriod[Lead Time]*TblOrderRec[[#This Row],[Daily Velocity]])),0)</f>
        <v>10</v>
      </c>
      <c r="S21" s="4">
        <f>_xlfn.CEILING.MATH(TblOrderRec[[#This Row],[Daily Velocity]]*TblOrderRec[[#This Row],[Target Days of Supply After Delivery]])</f>
        <v>4</v>
      </c>
      <c r="T21" s="4">
        <f>MAX(TblOrderRec[[#This Row],[Target Inventory after Delivery]]-TblOrderRec[[#This Row],[Inventory at Delivery]],0)</f>
        <v>0</v>
      </c>
      <c r="U21" s="4">
        <f>ROUNDUP(TblOrderRec[[#This Row],[Units to Order]]/TblOrderRec[[#This Row],[Purchase Unit Size]],0)</f>
        <v>0</v>
      </c>
      <c r="V21" s="4">
        <f>TblOrderRec[[#This Row],[Inventory at Delivery]]+(TblOrderRec[[#This Row],[Purchase Units to Order]]*TblOrderRec[[#This Row],[Purchase Unit Size]])</f>
        <v>10</v>
      </c>
      <c r="W21" s="11">
        <f>IFERROR(ROUNDDOWN(TblOrderRec[[#This Row],[Projected QTY on Hand after Delivery]]/TblOrderRec[[#This Row],[Daily Velocity]],0),"NULL")</f>
        <v>38</v>
      </c>
      <c r="X21" s="12" cm="1">
        <f t="array" ref="X21">IF(TblOrderRec[[#This Row],[Units to Order]]=0,TblOrderRec[[#This Row],[Current Depletion Date]],tblOrderReportPeriod[Order Delivery Date]+TblOrderRec[[#This Row],[Projected Days Until Depleted]])</f>
        <v>46102</v>
      </c>
    </row>
    <row r="22" spans="1:24" x14ac:dyDescent="0.25">
      <c r="A22" s="17">
        <v>2858379</v>
      </c>
      <c r="B22" t="str">
        <f>_xlfn.XLOOKUP(TblOrderRec[[#This Row],[Product ID]],tblProduct[product_id],tblProduct[category])</f>
        <v>candy</v>
      </c>
      <c r="C22" t="str">
        <f>_xlfn.XLOOKUP(TblOrderRec[[#This Row],[Product ID]],tblProduct[product_id],tblProduct[product_name])</f>
        <v>Kit Kat</v>
      </c>
      <c r="D22" t="str">
        <f>IF(LEN(TblOrderRec[[#This Row],[Product]])&gt;15,LEFT(TblOrderRec[[#This Row],[Product]],12)&amp;"…",TblOrderRec[[#This Row],[Product]])</f>
        <v>Kit Kat</v>
      </c>
      <c r="E22">
        <f>_xlfn.XLOOKUP(TblOrderRec[[#This Row],[Product ID]],tblProduct[product_id],tblProduct[purchase_unit_size])</f>
        <v>28</v>
      </c>
      <c r="F22" cm="1">
        <f t="array" ref="F22">_xlfn.XLOOKUP(TblOrderRec[[#This Row],[Product ID]]&amp;tblOrderReportPeriod[Period Start Date],tblInventorySnapshot[product_id]&amp;tblInventorySnapshot[snapshot_date],tblInventorySnapshot[qty_on_hand])</f>
        <v>14</v>
      </c>
      <c r="G22" cm="1">
        <f t="array" ref="G22">SUMIFS(tblPurchases[total_qty_purchased],
tblPurchases[product_id],TblOrderRec[[#This Row],[Product ID]],
tblPurchases[received_date],"&gt;="&amp;tblOrderReportPeriod[Period Start Date],
tblPurchases[received_date],"&lt;="&amp;tblOrderReportPeriod[Period End Date])</f>
        <v>0</v>
      </c>
      <c r="H22" cm="1">
        <f t="array" ref="H22">SUMIFS(tblSales[quantity],
tblSales[product_id],TblOrderRec[[#This Row],[Product ID]],
tblSales[sale_date],"&gt;="&amp;tblOrderReportPeriod[Period Start Date],
tblSales[sale_date],"&lt;="&amp;tblOrderReportPeriod[Period End Date])</f>
        <v>7</v>
      </c>
      <c r="I22">
        <f>TblOrderRec[[#This Row],[Beg QTY]]+TblOrderRec[[#This Row],[Purchased]]-TblOrderRec[[#This Row],[Sold (SORT DESC)]]</f>
        <v>7</v>
      </c>
      <c r="J22" s="2" cm="1">
        <f t="array" ref="J22">TblOrderRec[[#This Row],[Sold (SORT DESC)]]/tblOrderReportPeriod[Total Elapsed Days]</f>
        <v>0.2</v>
      </c>
      <c r="K22" s="2">
        <f>TblOrderRec[[#This Row],[Daily Velocity]]*7</f>
        <v>1.4000000000000001</v>
      </c>
      <c r="L22" s="4">
        <f>_xlfn.FLOOR.MATH(TblOrderRec[[#This Row],[End QTY]]/TblOrderRec[[#This Row],[Daily Velocity]])</f>
        <v>35</v>
      </c>
      <c r="M22" s="12" cm="1">
        <f t="array" ref="M22">tblOrderReportPeriod[Period End Date]+TblOrderRec[[#This Row],[Current Days of Inventory]]</f>
        <v>46091</v>
      </c>
      <c r="N22" s="15">
        <f>TblOrderRec[[#This Row],[Sold (SORT DESC)]]/SUM(TblOrderRec[Sold (SORT DESC)])</f>
        <v>8.5470085470085479E-3</v>
      </c>
      <c r="O22" s="5">
        <f>SUM($N$2:N22)</f>
        <v>0.96459096459096427</v>
      </c>
      <c r="P22" s="5" t="str" cm="1">
        <f t="array" ref="P22">_xlfn.IFS(TblOrderRec[[#This Row],[Running Total of % of Sales]]&lt;=0.8,"A – Top Sellers",
TblOrderRec[[#This Row],[Running Total of % of Sales]]&lt;=0.95,"B – Mid Sellers",
TRUE,"C – Low Sellers"
)</f>
        <v>C – Low Sellers</v>
      </c>
      <c r="Q22" s="4" cm="1">
        <f t="array" ref="Q22">_xlfn.IFS(
TblOrderRec[[#This Row],[Running Total of % of Sales]]&lt;=0.8, 14+tblOrderReportPeriod[Days Between Deliveries],
TblOrderRec[[#This Row],[Running Total of % of Sales]]&lt;=0.95, 7+tblOrderReportPeriod[Days Between Deliveries],
TRUE,tblOrderReportPeriod[Days Between Deliveries]
)</f>
        <v>14</v>
      </c>
      <c r="R22" s="4" cm="1">
        <f t="array" ref="R22">IF(TblOrderRec[[#This Row],[End QTY]]-_xlfn.CEILING.MATH((tblOrderReportPeriod[Lead Time]*TblOrderRec[[#This Row],[Daily Velocity]]))&gt;=0,TblOrderRec[[#This Row],[End QTY]]-_xlfn.CEILING.MATH((tblOrderReportPeriod[Lead Time]*TblOrderRec[[#This Row],[Daily Velocity]])),0)</f>
        <v>5</v>
      </c>
      <c r="S22" s="4">
        <f>_xlfn.CEILING.MATH(TblOrderRec[[#This Row],[Daily Velocity]]*TblOrderRec[[#This Row],[Target Days of Supply After Delivery]])</f>
        <v>3</v>
      </c>
      <c r="T22" s="4">
        <f>MAX(TblOrderRec[[#This Row],[Target Inventory after Delivery]]-TblOrderRec[[#This Row],[Inventory at Delivery]],0)</f>
        <v>0</v>
      </c>
      <c r="U22" s="4">
        <f>ROUNDUP(TblOrderRec[[#This Row],[Units to Order]]/TblOrderRec[[#This Row],[Purchase Unit Size]],0)</f>
        <v>0</v>
      </c>
      <c r="V22" s="4">
        <f>TblOrderRec[[#This Row],[Inventory at Delivery]]+(TblOrderRec[[#This Row],[Purchase Units to Order]]*TblOrderRec[[#This Row],[Purchase Unit Size]])</f>
        <v>5</v>
      </c>
      <c r="W22" s="11">
        <f>IFERROR(ROUNDDOWN(TblOrderRec[[#This Row],[Projected QTY on Hand after Delivery]]/TblOrderRec[[#This Row],[Daily Velocity]],0),"NULL")</f>
        <v>25</v>
      </c>
      <c r="X22" s="12" cm="1">
        <f t="array" ref="X22">IF(TblOrderRec[[#This Row],[Units to Order]]=0,TblOrderRec[[#This Row],[Current Depletion Date]],tblOrderReportPeriod[Order Delivery Date]+TblOrderRec[[#This Row],[Projected Days Until Depleted]])</f>
        <v>46091</v>
      </c>
    </row>
    <row r="23" spans="1:24" x14ac:dyDescent="0.25">
      <c r="A23" s="17">
        <v>2424707</v>
      </c>
      <c r="B23" t="str">
        <f>_xlfn.XLOOKUP(TblOrderRec[[#This Row],[Product ID]],tblProduct[product_id],tblProduct[category])</f>
        <v>candy</v>
      </c>
      <c r="C23" t="str">
        <f>_xlfn.XLOOKUP(TblOrderRec[[#This Row],[Product ID]],tblProduct[product_id],tblProduct[product_name])</f>
        <v>Jelly Belly Jelly Beans</v>
      </c>
      <c r="D23" t="str">
        <f>IF(LEN(TblOrderRec[[#This Row],[Product]])&gt;15,LEFT(TblOrderRec[[#This Row],[Product]],12)&amp;"…",TblOrderRec[[#This Row],[Product]])</f>
        <v>Jelly Belly …</v>
      </c>
      <c r="E23">
        <f>_xlfn.XLOOKUP(TblOrderRec[[#This Row],[Product ID]],tblProduct[product_id],tblProduct[purchase_unit_size])</f>
        <v>28</v>
      </c>
      <c r="F23" cm="1">
        <f t="array" ref="F23">_xlfn.XLOOKUP(TblOrderRec[[#This Row],[Product ID]]&amp;tblOrderReportPeriod[Period Start Date],tblInventorySnapshot[product_id]&amp;tblInventorySnapshot[snapshot_date],tblInventorySnapshot[qty_on_hand])</f>
        <v>28</v>
      </c>
      <c r="G23" cm="1">
        <f t="array" ref="G23">SUMIFS(tblPurchases[total_qty_purchased],
tblPurchases[product_id],TblOrderRec[[#This Row],[Product ID]],
tblPurchases[received_date],"&gt;="&amp;tblOrderReportPeriod[Period Start Date],
tblPurchases[received_date],"&lt;="&amp;tblOrderReportPeriod[Period End Date])</f>
        <v>0</v>
      </c>
      <c r="H23" cm="1">
        <f t="array" ref="H23">SUMIFS(tblSales[quantity],
tblSales[product_id],TblOrderRec[[#This Row],[Product ID]],
tblSales[sale_date],"&gt;="&amp;tblOrderReportPeriod[Period Start Date],
tblSales[sale_date],"&lt;="&amp;tblOrderReportPeriod[Period End Date])</f>
        <v>6</v>
      </c>
      <c r="I23">
        <f>TblOrderRec[[#This Row],[Beg QTY]]+TblOrderRec[[#This Row],[Purchased]]-TblOrderRec[[#This Row],[Sold (SORT DESC)]]</f>
        <v>22</v>
      </c>
      <c r="J23" s="2" cm="1">
        <f t="array" ref="J23">TblOrderRec[[#This Row],[Sold (SORT DESC)]]/tblOrderReportPeriod[Total Elapsed Days]</f>
        <v>0.17142857142857143</v>
      </c>
      <c r="K23" s="2">
        <f>TblOrderRec[[#This Row],[Daily Velocity]]*7</f>
        <v>1.2</v>
      </c>
      <c r="L23" s="4">
        <f>_xlfn.FLOOR.MATH(TblOrderRec[[#This Row],[End QTY]]/TblOrderRec[[#This Row],[Daily Velocity]])</f>
        <v>128</v>
      </c>
      <c r="M23" s="12" cm="1">
        <f t="array" ref="M23">tblOrderReportPeriod[Period End Date]+TblOrderRec[[#This Row],[Current Days of Inventory]]</f>
        <v>46184</v>
      </c>
      <c r="N23" s="15">
        <f>TblOrderRec[[#This Row],[Sold (SORT DESC)]]/SUM(TblOrderRec[Sold (SORT DESC)])</f>
        <v>7.326007326007326E-3</v>
      </c>
      <c r="O23" s="5">
        <f>SUM($N$2:N23)</f>
        <v>0.97191697191697157</v>
      </c>
      <c r="P23" s="5" t="str" cm="1">
        <f t="array" ref="P23">_xlfn.IFS(TblOrderRec[[#This Row],[Running Total of % of Sales]]&lt;=0.8,"A – Top Sellers",
TblOrderRec[[#This Row],[Running Total of % of Sales]]&lt;=0.95,"B – Mid Sellers",
TRUE,"C – Low Sellers"
)</f>
        <v>C – Low Sellers</v>
      </c>
      <c r="Q23" s="4" cm="1">
        <f t="array" ref="Q23">_xlfn.IFS(
TblOrderRec[[#This Row],[Running Total of % of Sales]]&lt;=0.8, 14+tblOrderReportPeriod[Days Between Deliveries],
TblOrderRec[[#This Row],[Running Total of % of Sales]]&lt;=0.95, 7+tblOrderReportPeriod[Days Between Deliveries],
TRUE,tblOrderReportPeriod[Days Between Deliveries]
)</f>
        <v>14</v>
      </c>
      <c r="R23" s="4" cm="1">
        <f t="array" ref="R23">IF(TblOrderRec[[#This Row],[End QTY]]-_xlfn.CEILING.MATH((tblOrderReportPeriod[Lead Time]*TblOrderRec[[#This Row],[Daily Velocity]]))&gt;=0,TblOrderRec[[#This Row],[End QTY]]-_xlfn.CEILING.MATH((tblOrderReportPeriod[Lead Time]*TblOrderRec[[#This Row],[Daily Velocity]])),0)</f>
        <v>20</v>
      </c>
      <c r="S23" s="4">
        <f>_xlfn.CEILING.MATH(TblOrderRec[[#This Row],[Daily Velocity]]*TblOrderRec[[#This Row],[Target Days of Supply After Delivery]])</f>
        <v>3</v>
      </c>
      <c r="T23" s="4">
        <f>MAX(TblOrderRec[[#This Row],[Target Inventory after Delivery]]-TblOrderRec[[#This Row],[Inventory at Delivery]],0)</f>
        <v>0</v>
      </c>
      <c r="U23" s="4">
        <f>ROUNDUP(TblOrderRec[[#This Row],[Units to Order]]/TblOrderRec[[#This Row],[Purchase Unit Size]],0)</f>
        <v>0</v>
      </c>
      <c r="V23" s="4">
        <f>TblOrderRec[[#This Row],[Inventory at Delivery]]+(TblOrderRec[[#This Row],[Purchase Units to Order]]*TblOrderRec[[#This Row],[Purchase Unit Size]])</f>
        <v>20</v>
      </c>
      <c r="W23" s="11">
        <f>IFERROR(ROUNDDOWN(TblOrderRec[[#This Row],[Projected QTY on Hand after Delivery]]/TblOrderRec[[#This Row],[Daily Velocity]],0),"NULL")</f>
        <v>116</v>
      </c>
      <c r="X23" s="12" cm="1">
        <f t="array" ref="X23">IF(TblOrderRec[[#This Row],[Units to Order]]=0,TblOrderRec[[#This Row],[Current Depletion Date]],tblOrderReportPeriod[Order Delivery Date]+TblOrderRec[[#This Row],[Projected Days Until Depleted]])</f>
        <v>46184</v>
      </c>
    </row>
    <row r="24" spans="1:24" x14ac:dyDescent="0.25">
      <c r="A24" s="17">
        <v>7944400</v>
      </c>
      <c r="B24" t="str">
        <f>_xlfn.XLOOKUP(TblOrderRec[[#This Row],[Product ID]],tblProduct[product_id],tblProduct[category])</f>
        <v>candy</v>
      </c>
      <c r="C24" t="str">
        <f>_xlfn.XLOOKUP(TblOrderRec[[#This Row],[Product ID]],tblProduct[product_id],tblProduct[product_name])</f>
        <v>Tootsie Roll</v>
      </c>
      <c r="D24" t="str">
        <f>IF(LEN(TblOrderRec[[#This Row],[Product]])&gt;15,LEFT(TblOrderRec[[#This Row],[Product]],12)&amp;"…",TblOrderRec[[#This Row],[Product]])</f>
        <v>Tootsie Roll</v>
      </c>
      <c r="E24">
        <f>_xlfn.XLOOKUP(TblOrderRec[[#This Row],[Product ID]],tblProduct[product_id],tblProduct[purchase_unit_size])</f>
        <v>28</v>
      </c>
      <c r="F24" cm="1">
        <f t="array" ref="F24">_xlfn.XLOOKUP(TblOrderRec[[#This Row],[Product ID]]&amp;tblOrderReportPeriod[Period Start Date],tblInventorySnapshot[product_id]&amp;tblInventorySnapshot[snapshot_date],tblInventorySnapshot[qty_on_hand])</f>
        <v>22</v>
      </c>
      <c r="G24" cm="1">
        <f t="array" ref="G24">SUMIFS(tblPurchases[total_qty_purchased],
tblPurchases[product_id],TblOrderRec[[#This Row],[Product ID]],
tblPurchases[received_date],"&gt;="&amp;tblOrderReportPeriod[Period Start Date],
tblPurchases[received_date],"&lt;="&amp;tblOrderReportPeriod[Period End Date])</f>
        <v>0</v>
      </c>
      <c r="H24" cm="1">
        <f t="array" ref="H24">SUMIFS(tblSales[quantity],
tblSales[product_id],TblOrderRec[[#This Row],[Product ID]],
tblSales[sale_date],"&gt;="&amp;tblOrderReportPeriod[Period Start Date],
tblSales[sale_date],"&lt;="&amp;tblOrderReportPeriod[Period End Date])</f>
        <v>6</v>
      </c>
      <c r="I24">
        <f>TblOrderRec[[#This Row],[Beg QTY]]+TblOrderRec[[#This Row],[Purchased]]-TblOrderRec[[#This Row],[Sold (SORT DESC)]]</f>
        <v>16</v>
      </c>
      <c r="J24" s="2" cm="1">
        <f t="array" ref="J24">TblOrderRec[[#This Row],[Sold (SORT DESC)]]/tblOrderReportPeriod[Total Elapsed Days]</f>
        <v>0.17142857142857143</v>
      </c>
      <c r="K24" s="2">
        <f>TblOrderRec[[#This Row],[Daily Velocity]]*7</f>
        <v>1.2</v>
      </c>
      <c r="L24" s="4">
        <f>_xlfn.FLOOR.MATH(TblOrderRec[[#This Row],[End QTY]]/TblOrderRec[[#This Row],[Daily Velocity]])</f>
        <v>93</v>
      </c>
      <c r="M24" s="12" cm="1">
        <f t="array" ref="M24">tblOrderReportPeriod[Period End Date]+TblOrderRec[[#This Row],[Current Days of Inventory]]</f>
        <v>46149</v>
      </c>
      <c r="N24" s="15">
        <f>TblOrderRec[[#This Row],[Sold (SORT DESC)]]/SUM(TblOrderRec[Sold (SORT DESC)])</f>
        <v>7.326007326007326E-3</v>
      </c>
      <c r="O24" s="5">
        <f>SUM($N$2:N24)</f>
        <v>0.97924297924297887</v>
      </c>
      <c r="P24" s="5" t="str" cm="1">
        <f t="array" ref="P24">_xlfn.IFS(TblOrderRec[[#This Row],[Running Total of % of Sales]]&lt;=0.8,"A – Top Sellers",
TblOrderRec[[#This Row],[Running Total of % of Sales]]&lt;=0.95,"B – Mid Sellers",
TRUE,"C – Low Sellers"
)</f>
        <v>C – Low Sellers</v>
      </c>
      <c r="Q24" s="4" cm="1">
        <f t="array" ref="Q24">_xlfn.IFS(
TblOrderRec[[#This Row],[Running Total of % of Sales]]&lt;=0.8, 14+tblOrderReportPeriod[Days Between Deliveries],
TblOrderRec[[#This Row],[Running Total of % of Sales]]&lt;=0.95, 7+tblOrderReportPeriod[Days Between Deliveries],
TRUE,tblOrderReportPeriod[Days Between Deliveries]
)</f>
        <v>14</v>
      </c>
      <c r="R24" s="4" cm="1">
        <f t="array" ref="R24">IF(TblOrderRec[[#This Row],[End QTY]]-_xlfn.CEILING.MATH((tblOrderReportPeriod[Lead Time]*TblOrderRec[[#This Row],[Daily Velocity]]))&gt;=0,TblOrderRec[[#This Row],[End QTY]]-_xlfn.CEILING.MATH((tblOrderReportPeriod[Lead Time]*TblOrderRec[[#This Row],[Daily Velocity]])),0)</f>
        <v>14</v>
      </c>
      <c r="S24" s="4">
        <f>_xlfn.CEILING.MATH(TblOrderRec[[#This Row],[Daily Velocity]]*TblOrderRec[[#This Row],[Target Days of Supply After Delivery]])</f>
        <v>3</v>
      </c>
      <c r="T24" s="4">
        <f>MAX(TblOrderRec[[#This Row],[Target Inventory after Delivery]]-TblOrderRec[[#This Row],[Inventory at Delivery]],0)</f>
        <v>0</v>
      </c>
      <c r="U24" s="4">
        <f>ROUNDUP(TblOrderRec[[#This Row],[Units to Order]]/TblOrderRec[[#This Row],[Purchase Unit Size]],0)</f>
        <v>0</v>
      </c>
      <c r="V24" s="4">
        <f>TblOrderRec[[#This Row],[Inventory at Delivery]]+(TblOrderRec[[#This Row],[Purchase Units to Order]]*TblOrderRec[[#This Row],[Purchase Unit Size]])</f>
        <v>14</v>
      </c>
      <c r="W24" s="11">
        <f>IFERROR(ROUNDDOWN(TblOrderRec[[#This Row],[Projected QTY on Hand after Delivery]]/TblOrderRec[[#This Row],[Daily Velocity]],0),"NULL")</f>
        <v>81</v>
      </c>
      <c r="X24" s="12" cm="1">
        <f t="array" ref="X24">IF(TblOrderRec[[#This Row],[Units to Order]]=0,TblOrderRec[[#This Row],[Current Depletion Date]],tblOrderReportPeriod[Order Delivery Date]+TblOrderRec[[#This Row],[Projected Days Until Depleted]])</f>
        <v>46149</v>
      </c>
    </row>
    <row r="25" spans="1:24" x14ac:dyDescent="0.25">
      <c r="A25" s="17">
        <v>9044404</v>
      </c>
      <c r="B25" t="str">
        <f>_xlfn.XLOOKUP(TblOrderRec[[#This Row],[Product ID]],tblProduct[product_id],tblProduct[category])</f>
        <v>snack</v>
      </c>
      <c r="C25" t="str">
        <f>_xlfn.XLOOKUP(TblOrderRec[[#This Row],[Product ID]],tblProduct[product_id],tblProduct[product_name])</f>
        <v>Granola Bar</v>
      </c>
      <c r="D25" t="str">
        <f>IF(LEN(TblOrderRec[[#This Row],[Product]])&gt;15,LEFT(TblOrderRec[[#This Row],[Product]],12)&amp;"…",TblOrderRec[[#This Row],[Product]])</f>
        <v>Granola Bar</v>
      </c>
      <c r="E25">
        <f>_xlfn.XLOOKUP(TblOrderRec[[#This Row],[Product ID]],tblProduct[product_id],tblProduct[purchase_unit_size])</f>
        <v>24</v>
      </c>
      <c r="F25" cm="1">
        <f t="array" ref="F25">_xlfn.XLOOKUP(TblOrderRec[[#This Row],[Product ID]]&amp;tblOrderReportPeriod[Period Start Date],tblInventorySnapshot[product_id]&amp;tblInventorySnapshot[snapshot_date],tblInventorySnapshot[qty_on_hand])</f>
        <v>19</v>
      </c>
      <c r="G25" cm="1">
        <f t="array" ref="G25">SUMIFS(tblPurchases[total_qty_purchased],
tblPurchases[product_id],TblOrderRec[[#This Row],[Product ID]],
tblPurchases[received_date],"&gt;="&amp;tblOrderReportPeriod[Period Start Date],
tblPurchases[received_date],"&lt;="&amp;tblOrderReportPeriod[Period End Date])</f>
        <v>0</v>
      </c>
      <c r="H25" cm="1">
        <f t="array" ref="H25">SUMIFS(tblSales[quantity],
tblSales[product_id],TblOrderRec[[#This Row],[Product ID]],
tblSales[sale_date],"&gt;="&amp;tblOrderReportPeriod[Period Start Date],
tblSales[sale_date],"&lt;="&amp;tblOrderReportPeriod[Period End Date])</f>
        <v>5</v>
      </c>
      <c r="I25">
        <f>TblOrderRec[[#This Row],[Beg QTY]]+TblOrderRec[[#This Row],[Purchased]]-TblOrderRec[[#This Row],[Sold (SORT DESC)]]</f>
        <v>14</v>
      </c>
      <c r="J25" s="2" cm="1">
        <f t="array" ref="J25">TblOrderRec[[#This Row],[Sold (SORT DESC)]]/tblOrderReportPeriod[Total Elapsed Days]</f>
        <v>0.14285714285714285</v>
      </c>
      <c r="K25" s="2">
        <f>TblOrderRec[[#This Row],[Daily Velocity]]*7</f>
        <v>1</v>
      </c>
      <c r="L25" s="4">
        <f>_xlfn.FLOOR.MATH(TblOrderRec[[#This Row],[End QTY]]/TblOrderRec[[#This Row],[Daily Velocity]])</f>
        <v>98</v>
      </c>
      <c r="M25" s="12" cm="1">
        <f t="array" ref="M25">tblOrderReportPeriod[Period End Date]+TblOrderRec[[#This Row],[Current Days of Inventory]]</f>
        <v>46154</v>
      </c>
      <c r="N25" s="15">
        <f>TblOrderRec[[#This Row],[Sold (SORT DESC)]]/SUM(TblOrderRec[Sold (SORT DESC)])</f>
        <v>6.105006105006105E-3</v>
      </c>
      <c r="O25" s="5">
        <f>SUM($N$2:N25)</f>
        <v>0.98534798534798496</v>
      </c>
      <c r="P25" s="5" t="str" cm="1">
        <f t="array" ref="P25">_xlfn.IFS(TblOrderRec[[#This Row],[Running Total of % of Sales]]&lt;=0.8,"A – Top Sellers",
TblOrderRec[[#This Row],[Running Total of % of Sales]]&lt;=0.95,"B – Mid Sellers",
TRUE,"C – Low Sellers"
)</f>
        <v>C – Low Sellers</v>
      </c>
      <c r="Q25" s="4" cm="1">
        <f t="array" ref="Q25">_xlfn.IFS(
TblOrderRec[[#This Row],[Running Total of % of Sales]]&lt;=0.8, 14+tblOrderReportPeriod[Days Between Deliveries],
TblOrderRec[[#This Row],[Running Total of % of Sales]]&lt;=0.95, 7+tblOrderReportPeriod[Days Between Deliveries],
TRUE,tblOrderReportPeriod[Days Between Deliveries]
)</f>
        <v>14</v>
      </c>
      <c r="R25" s="4" cm="1">
        <f t="array" ref="R25">IF(TblOrderRec[[#This Row],[End QTY]]-_xlfn.CEILING.MATH((tblOrderReportPeriod[Lead Time]*TblOrderRec[[#This Row],[Daily Velocity]]))&gt;=0,TblOrderRec[[#This Row],[End QTY]]-_xlfn.CEILING.MATH((tblOrderReportPeriod[Lead Time]*TblOrderRec[[#This Row],[Daily Velocity]])),0)</f>
        <v>13</v>
      </c>
      <c r="S25" s="4">
        <f>_xlfn.CEILING.MATH(TblOrderRec[[#This Row],[Daily Velocity]]*TblOrderRec[[#This Row],[Target Days of Supply After Delivery]])</f>
        <v>2</v>
      </c>
      <c r="T25" s="4">
        <f>MAX(TblOrderRec[[#This Row],[Target Inventory after Delivery]]-TblOrderRec[[#This Row],[Inventory at Delivery]],0)</f>
        <v>0</v>
      </c>
      <c r="U25" s="4">
        <f>ROUNDUP(TblOrderRec[[#This Row],[Units to Order]]/TblOrderRec[[#This Row],[Purchase Unit Size]],0)</f>
        <v>0</v>
      </c>
      <c r="V25" s="4">
        <f>TblOrderRec[[#This Row],[Inventory at Delivery]]+(TblOrderRec[[#This Row],[Purchase Units to Order]]*TblOrderRec[[#This Row],[Purchase Unit Size]])</f>
        <v>13</v>
      </c>
      <c r="W25" s="11">
        <f>IFERROR(ROUNDDOWN(TblOrderRec[[#This Row],[Projected QTY on Hand after Delivery]]/TblOrderRec[[#This Row],[Daily Velocity]],0),"NULL")</f>
        <v>91</v>
      </c>
      <c r="X25" s="12" cm="1">
        <f t="array" ref="X25">IF(TblOrderRec[[#This Row],[Units to Order]]=0,TblOrderRec[[#This Row],[Current Depletion Date]],tblOrderReportPeriod[Order Delivery Date]+TblOrderRec[[#This Row],[Projected Days Until Depleted]])</f>
        <v>46154</v>
      </c>
    </row>
    <row r="26" spans="1:24" x14ac:dyDescent="0.25">
      <c r="A26" s="17">
        <v>8860153</v>
      </c>
      <c r="B26" t="str">
        <f>_xlfn.XLOOKUP(TblOrderRec[[#This Row],[Product ID]],tblProduct[product_id],tblProduct[category])</f>
        <v>candy</v>
      </c>
      <c r="C26" t="str">
        <f>_xlfn.XLOOKUP(TblOrderRec[[#This Row],[Product ID]],tblProduct[product_id],tblProduct[product_name])</f>
        <v>Mike and Ike</v>
      </c>
      <c r="D26" t="str">
        <f>IF(LEN(TblOrderRec[[#This Row],[Product]])&gt;15,LEFT(TblOrderRec[[#This Row],[Product]],12)&amp;"…",TblOrderRec[[#This Row],[Product]])</f>
        <v>Mike and Ike</v>
      </c>
      <c r="E26">
        <f>_xlfn.XLOOKUP(TblOrderRec[[#This Row],[Product ID]],tblProduct[product_id],tblProduct[purchase_unit_size])</f>
        <v>28</v>
      </c>
      <c r="F26" cm="1">
        <f t="array" ref="F26">_xlfn.XLOOKUP(TblOrderRec[[#This Row],[Product ID]]&amp;tblOrderReportPeriod[Period Start Date],tblInventorySnapshot[product_id]&amp;tblInventorySnapshot[snapshot_date],tblInventorySnapshot[qty_on_hand])</f>
        <v>7</v>
      </c>
      <c r="G26" cm="1">
        <f t="array" ref="G26">SUMIFS(tblPurchases[total_qty_purchased],
tblPurchases[product_id],TblOrderRec[[#This Row],[Product ID]],
tblPurchases[received_date],"&gt;="&amp;tblOrderReportPeriod[Period Start Date],
tblPurchases[received_date],"&lt;="&amp;tblOrderReportPeriod[Period End Date])</f>
        <v>0</v>
      </c>
      <c r="H26" cm="1">
        <f t="array" ref="H26">SUMIFS(tblSales[quantity],
tblSales[product_id],TblOrderRec[[#This Row],[Product ID]],
tblSales[sale_date],"&gt;="&amp;tblOrderReportPeriod[Period Start Date],
tblSales[sale_date],"&lt;="&amp;tblOrderReportPeriod[Period End Date])</f>
        <v>4</v>
      </c>
      <c r="I26">
        <f>TblOrderRec[[#This Row],[Beg QTY]]+TblOrderRec[[#This Row],[Purchased]]-TblOrderRec[[#This Row],[Sold (SORT DESC)]]</f>
        <v>3</v>
      </c>
      <c r="J26" s="2" cm="1">
        <f t="array" ref="J26">TblOrderRec[[#This Row],[Sold (SORT DESC)]]/tblOrderReportPeriod[Total Elapsed Days]</f>
        <v>0.11428571428571428</v>
      </c>
      <c r="K26" s="2">
        <f>TblOrderRec[[#This Row],[Daily Velocity]]*7</f>
        <v>0.79999999999999993</v>
      </c>
      <c r="L26" s="4">
        <f>_xlfn.FLOOR.MATH(TblOrderRec[[#This Row],[End QTY]]/TblOrderRec[[#This Row],[Daily Velocity]])</f>
        <v>26</v>
      </c>
      <c r="M26" s="12" cm="1">
        <f t="array" ref="M26">tblOrderReportPeriod[Period End Date]+TblOrderRec[[#This Row],[Current Days of Inventory]]</f>
        <v>46082</v>
      </c>
      <c r="N26" s="15">
        <f>TblOrderRec[[#This Row],[Sold (SORT DESC)]]/SUM(TblOrderRec[Sold (SORT DESC)])</f>
        <v>4.884004884004884E-3</v>
      </c>
      <c r="O26" s="5">
        <f>SUM($N$2:N26)</f>
        <v>0.99023199023198982</v>
      </c>
      <c r="P26" s="5" t="str" cm="1">
        <f t="array" ref="P26">_xlfn.IFS(TblOrderRec[[#This Row],[Running Total of % of Sales]]&lt;=0.8,"A – Top Sellers",
TblOrderRec[[#This Row],[Running Total of % of Sales]]&lt;=0.95,"B – Mid Sellers",
TRUE,"C – Low Sellers"
)</f>
        <v>C – Low Sellers</v>
      </c>
      <c r="Q26" s="4" cm="1">
        <f t="array" ref="Q26">_xlfn.IFS(
TblOrderRec[[#This Row],[Running Total of % of Sales]]&lt;=0.8, 14+tblOrderReportPeriod[Days Between Deliveries],
TblOrderRec[[#This Row],[Running Total of % of Sales]]&lt;=0.95, 7+tblOrderReportPeriod[Days Between Deliveries],
TRUE,tblOrderReportPeriod[Days Between Deliveries]
)</f>
        <v>14</v>
      </c>
      <c r="R26" s="4" cm="1">
        <f t="array" ref="R26">IF(TblOrderRec[[#This Row],[End QTY]]-_xlfn.CEILING.MATH((tblOrderReportPeriod[Lead Time]*TblOrderRec[[#This Row],[Daily Velocity]]))&gt;=0,TblOrderRec[[#This Row],[End QTY]]-_xlfn.CEILING.MATH((tblOrderReportPeriod[Lead Time]*TblOrderRec[[#This Row],[Daily Velocity]])),0)</f>
        <v>2</v>
      </c>
      <c r="S26" s="4">
        <f>_xlfn.CEILING.MATH(TblOrderRec[[#This Row],[Daily Velocity]]*TblOrderRec[[#This Row],[Target Days of Supply After Delivery]])</f>
        <v>2</v>
      </c>
      <c r="T26" s="4">
        <f>MAX(TblOrderRec[[#This Row],[Target Inventory after Delivery]]-TblOrderRec[[#This Row],[Inventory at Delivery]],0)</f>
        <v>0</v>
      </c>
      <c r="U26" s="4">
        <f>ROUNDUP(TblOrderRec[[#This Row],[Units to Order]]/TblOrderRec[[#This Row],[Purchase Unit Size]],0)</f>
        <v>0</v>
      </c>
      <c r="V26" s="4">
        <f>TblOrderRec[[#This Row],[Inventory at Delivery]]+(TblOrderRec[[#This Row],[Purchase Units to Order]]*TblOrderRec[[#This Row],[Purchase Unit Size]])</f>
        <v>2</v>
      </c>
      <c r="W26" s="11">
        <f>IFERROR(ROUNDDOWN(TblOrderRec[[#This Row],[Projected QTY on Hand after Delivery]]/TblOrderRec[[#This Row],[Daily Velocity]],0),"NULL")</f>
        <v>17</v>
      </c>
      <c r="X26" s="12" cm="1">
        <f t="array" ref="X26">IF(TblOrderRec[[#This Row],[Units to Order]]=0,TblOrderRec[[#This Row],[Current Depletion Date]],tblOrderReportPeriod[Order Delivery Date]+TblOrderRec[[#This Row],[Projected Days Until Depleted]])</f>
        <v>46082</v>
      </c>
    </row>
    <row r="27" spans="1:24" x14ac:dyDescent="0.25">
      <c r="A27" s="17">
        <v>2982488</v>
      </c>
      <c r="B27" t="str">
        <f>_xlfn.XLOOKUP(TblOrderRec[[#This Row],[Product ID]],tblProduct[product_id],tblProduct[category])</f>
        <v>snack</v>
      </c>
      <c r="C27" t="str">
        <f>_xlfn.XLOOKUP(TblOrderRec[[#This Row],[Product ID]],tblProduct[product_id],tblProduct[product_name])</f>
        <v>Popcorn (Microwave Bag)</v>
      </c>
      <c r="D27" t="str">
        <f>IF(LEN(TblOrderRec[[#This Row],[Product]])&gt;15,LEFT(TblOrderRec[[#This Row],[Product]],12)&amp;"…",TblOrderRec[[#This Row],[Product]])</f>
        <v>Popcorn (Mic…</v>
      </c>
      <c r="E27">
        <f>_xlfn.XLOOKUP(TblOrderRec[[#This Row],[Product ID]],tblProduct[product_id],tblProduct[purchase_unit_size])</f>
        <v>24</v>
      </c>
      <c r="F27" cm="1">
        <f t="array" ref="F27">_xlfn.XLOOKUP(TblOrderRec[[#This Row],[Product ID]]&amp;tblOrderReportPeriod[Period Start Date],tblInventorySnapshot[product_id]&amp;tblInventorySnapshot[snapshot_date],tblInventorySnapshot[qty_on_hand])</f>
        <v>17</v>
      </c>
      <c r="G27" cm="1">
        <f t="array" ref="G27">SUMIFS(tblPurchases[total_qty_purchased],
tblPurchases[product_id],TblOrderRec[[#This Row],[Product ID]],
tblPurchases[received_date],"&gt;="&amp;tblOrderReportPeriod[Period Start Date],
tblPurchases[received_date],"&lt;="&amp;tblOrderReportPeriod[Period End Date])</f>
        <v>0</v>
      </c>
      <c r="H27" cm="1">
        <f t="array" ref="H27">SUMIFS(tblSales[quantity],
tblSales[product_id],TblOrderRec[[#This Row],[Product ID]],
tblSales[sale_date],"&gt;="&amp;tblOrderReportPeriod[Period Start Date],
tblSales[sale_date],"&lt;="&amp;tblOrderReportPeriod[Period End Date])</f>
        <v>3</v>
      </c>
      <c r="I27">
        <f>TblOrderRec[[#This Row],[Beg QTY]]+TblOrderRec[[#This Row],[Purchased]]-TblOrderRec[[#This Row],[Sold (SORT DESC)]]</f>
        <v>14</v>
      </c>
      <c r="J27" s="2" cm="1">
        <f t="array" ref="J27">TblOrderRec[[#This Row],[Sold (SORT DESC)]]/tblOrderReportPeriod[Total Elapsed Days]</f>
        <v>8.5714285714285715E-2</v>
      </c>
      <c r="K27" s="2">
        <f>TblOrderRec[[#This Row],[Daily Velocity]]*7</f>
        <v>0.6</v>
      </c>
      <c r="L27" s="4">
        <f>_xlfn.FLOOR.MATH(TblOrderRec[[#This Row],[End QTY]]/TblOrderRec[[#This Row],[Daily Velocity]])</f>
        <v>163</v>
      </c>
      <c r="M27" s="12" cm="1">
        <f t="array" ref="M27">tblOrderReportPeriod[Period End Date]+TblOrderRec[[#This Row],[Current Days of Inventory]]</f>
        <v>46219</v>
      </c>
      <c r="N27" s="15">
        <f>TblOrderRec[[#This Row],[Sold (SORT DESC)]]/SUM(TblOrderRec[Sold (SORT DESC)])</f>
        <v>3.663003663003663E-3</v>
      </c>
      <c r="O27" s="5">
        <f>SUM($N$2:N27)</f>
        <v>0.99389499389499347</v>
      </c>
      <c r="P27" s="5" t="str" cm="1">
        <f t="array" ref="P27">_xlfn.IFS(TblOrderRec[[#This Row],[Running Total of % of Sales]]&lt;=0.8,"A – Top Sellers",
TblOrderRec[[#This Row],[Running Total of % of Sales]]&lt;=0.95,"B – Mid Sellers",
TRUE,"C – Low Sellers"
)</f>
        <v>C – Low Sellers</v>
      </c>
      <c r="Q27" s="4" cm="1">
        <f t="array" ref="Q27">_xlfn.IFS(
TblOrderRec[[#This Row],[Running Total of % of Sales]]&lt;=0.8, 14+tblOrderReportPeriod[Days Between Deliveries],
TblOrderRec[[#This Row],[Running Total of % of Sales]]&lt;=0.95, 7+tblOrderReportPeriod[Days Between Deliveries],
TRUE,tblOrderReportPeriod[Days Between Deliveries]
)</f>
        <v>14</v>
      </c>
      <c r="R27" s="4" cm="1">
        <f t="array" ref="R27">IF(TblOrderRec[[#This Row],[End QTY]]-_xlfn.CEILING.MATH((tblOrderReportPeriod[Lead Time]*TblOrderRec[[#This Row],[Daily Velocity]]))&gt;=0,TblOrderRec[[#This Row],[End QTY]]-_xlfn.CEILING.MATH((tblOrderReportPeriod[Lead Time]*TblOrderRec[[#This Row],[Daily Velocity]])),0)</f>
        <v>13</v>
      </c>
      <c r="S27" s="4">
        <f>_xlfn.CEILING.MATH(TblOrderRec[[#This Row],[Daily Velocity]]*TblOrderRec[[#This Row],[Target Days of Supply After Delivery]])</f>
        <v>2</v>
      </c>
      <c r="T27" s="4">
        <f>MAX(TblOrderRec[[#This Row],[Target Inventory after Delivery]]-TblOrderRec[[#This Row],[Inventory at Delivery]],0)</f>
        <v>0</v>
      </c>
      <c r="U27" s="4">
        <f>ROUNDUP(TblOrderRec[[#This Row],[Units to Order]]/TblOrderRec[[#This Row],[Purchase Unit Size]],0)</f>
        <v>0</v>
      </c>
      <c r="V27" s="4">
        <f>TblOrderRec[[#This Row],[Inventory at Delivery]]+(TblOrderRec[[#This Row],[Purchase Units to Order]]*TblOrderRec[[#This Row],[Purchase Unit Size]])</f>
        <v>13</v>
      </c>
      <c r="W27" s="11">
        <f>IFERROR(ROUNDDOWN(TblOrderRec[[#This Row],[Projected QTY on Hand after Delivery]]/TblOrderRec[[#This Row],[Daily Velocity]],0),"NULL")</f>
        <v>151</v>
      </c>
      <c r="X27" s="12" cm="1">
        <f t="array" ref="X27">IF(TblOrderRec[[#This Row],[Units to Order]]=0,TblOrderRec[[#This Row],[Current Depletion Date]],tblOrderReportPeriod[Order Delivery Date]+TblOrderRec[[#This Row],[Projected Days Until Depleted]])</f>
        <v>46219</v>
      </c>
    </row>
    <row r="28" spans="1:24" x14ac:dyDescent="0.25">
      <c r="A28" s="17">
        <v>6341525</v>
      </c>
      <c r="B28" t="str">
        <f>_xlfn.XLOOKUP(TblOrderRec[[#This Row],[Product ID]],tblProduct[product_id],tblProduct[category])</f>
        <v>snack</v>
      </c>
      <c r="C28" t="str">
        <f>_xlfn.XLOOKUP(TblOrderRec[[#This Row],[Product ID]],tblProduct[product_id],tblProduct[product_name])</f>
        <v>Goldfish Crackers</v>
      </c>
      <c r="D28" t="str">
        <f>IF(LEN(TblOrderRec[[#This Row],[Product]])&gt;15,LEFT(TblOrderRec[[#This Row],[Product]],12)&amp;"…",TblOrderRec[[#This Row],[Product]])</f>
        <v>Goldfish Cra…</v>
      </c>
      <c r="E28">
        <f>_xlfn.XLOOKUP(TblOrderRec[[#This Row],[Product ID]],tblProduct[product_id],tblProduct[purchase_unit_size])</f>
        <v>24</v>
      </c>
      <c r="F28" cm="1">
        <f t="array" ref="F28">_xlfn.XLOOKUP(TblOrderRec[[#This Row],[Product ID]]&amp;tblOrderReportPeriod[Period Start Date],tblInventorySnapshot[product_id]&amp;tblInventorySnapshot[snapshot_date],tblInventorySnapshot[qty_on_hand])</f>
        <v>7</v>
      </c>
      <c r="G28" cm="1">
        <f t="array" ref="G28">SUMIFS(tblPurchases[total_qty_purchased],
tblPurchases[product_id],TblOrderRec[[#This Row],[Product ID]],
tblPurchases[received_date],"&gt;="&amp;tblOrderReportPeriod[Period Start Date],
tblPurchases[received_date],"&lt;="&amp;tblOrderReportPeriod[Period End Date])</f>
        <v>0</v>
      </c>
      <c r="H28" cm="1">
        <f t="array" ref="H28">SUMIFS(tblSales[quantity],
tblSales[product_id],TblOrderRec[[#This Row],[Product ID]],
tblSales[sale_date],"&gt;="&amp;tblOrderReportPeriod[Period Start Date],
tblSales[sale_date],"&lt;="&amp;tblOrderReportPeriod[Period End Date])</f>
        <v>2</v>
      </c>
      <c r="I28">
        <f>TblOrderRec[[#This Row],[Beg QTY]]+TblOrderRec[[#This Row],[Purchased]]-TblOrderRec[[#This Row],[Sold (SORT DESC)]]</f>
        <v>5</v>
      </c>
      <c r="J28" s="2" cm="1">
        <f t="array" ref="J28">TblOrderRec[[#This Row],[Sold (SORT DESC)]]/tblOrderReportPeriod[Total Elapsed Days]</f>
        <v>5.7142857142857141E-2</v>
      </c>
      <c r="K28" s="2">
        <f>TblOrderRec[[#This Row],[Daily Velocity]]*7</f>
        <v>0.39999999999999997</v>
      </c>
      <c r="L28" s="4">
        <f>_xlfn.FLOOR.MATH(TblOrderRec[[#This Row],[End QTY]]/TblOrderRec[[#This Row],[Daily Velocity]])</f>
        <v>87</v>
      </c>
      <c r="M28" s="12" cm="1">
        <f t="array" ref="M28">tblOrderReportPeriod[Period End Date]+TblOrderRec[[#This Row],[Current Days of Inventory]]</f>
        <v>46143</v>
      </c>
      <c r="N28" s="15">
        <f>TblOrderRec[[#This Row],[Sold (SORT DESC)]]/SUM(TblOrderRec[Sold (SORT DESC)])</f>
        <v>2.442002442002442E-3</v>
      </c>
      <c r="O28" s="5">
        <f>SUM($N$2:N28)</f>
        <v>0.99633699633699591</v>
      </c>
      <c r="P28" s="5" t="str" cm="1">
        <f t="array" ref="P28">_xlfn.IFS(TblOrderRec[[#This Row],[Running Total of % of Sales]]&lt;=0.8,"A – Top Sellers",
TblOrderRec[[#This Row],[Running Total of % of Sales]]&lt;=0.95,"B – Mid Sellers",
TRUE,"C – Low Sellers"
)</f>
        <v>C – Low Sellers</v>
      </c>
      <c r="Q28" s="4" cm="1">
        <f t="array" ref="Q28">_xlfn.IFS(
TblOrderRec[[#This Row],[Running Total of % of Sales]]&lt;=0.8, 14+tblOrderReportPeriod[Days Between Deliveries],
TblOrderRec[[#This Row],[Running Total of % of Sales]]&lt;=0.95, 7+tblOrderReportPeriod[Days Between Deliveries],
TRUE,tblOrderReportPeriod[Days Between Deliveries]
)</f>
        <v>14</v>
      </c>
      <c r="R28" s="4" cm="1">
        <f t="array" ref="R28">IF(TblOrderRec[[#This Row],[End QTY]]-_xlfn.CEILING.MATH((tblOrderReportPeriod[Lead Time]*TblOrderRec[[#This Row],[Daily Velocity]]))&gt;=0,TblOrderRec[[#This Row],[End QTY]]-_xlfn.CEILING.MATH((tblOrderReportPeriod[Lead Time]*TblOrderRec[[#This Row],[Daily Velocity]])),0)</f>
        <v>4</v>
      </c>
      <c r="S28" s="4">
        <f>_xlfn.CEILING.MATH(TblOrderRec[[#This Row],[Daily Velocity]]*TblOrderRec[[#This Row],[Target Days of Supply After Delivery]])</f>
        <v>1</v>
      </c>
      <c r="T28" s="4">
        <f>MAX(TblOrderRec[[#This Row],[Target Inventory after Delivery]]-TblOrderRec[[#This Row],[Inventory at Delivery]],0)</f>
        <v>0</v>
      </c>
      <c r="U28" s="4">
        <f>ROUNDUP(TblOrderRec[[#This Row],[Units to Order]]/TblOrderRec[[#This Row],[Purchase Unit Size]],0)</f>
        <v>0</v>
      </c>
      <c r="V28" s="4">
        <f>TblOrderRec[[#This Row],[Inventory at Delivery]]+(TblOrderRec[[#This Row],[Purchase Units to Order]]*TblOrderRec[[#This Row],[Purchase Unit Size]])</f>
        <v>4</v>
      </c>
      <c r="W28" s="11">
        <f>IFERROR(ROUNDDOWN(TblOrderRec[[#This Row],[Projected QTY on Hand after Delivery]]/TblOrderRec[[#This Row],[Daily Velocity]],0),"NULL")</f>
        <v>70</v>
      </c>
      <c r="X28" s="12" cm="1">
        <f t="array" ref="X28">IF(TblOrderRec[[#This Row],[Units to Order]]=0,TblOrderRec[[#This Row],[Current Depletion Date]],tblOrderReportPeriod[Order Delivery Date]+TblOrderRec[[#This Row],[Projected Days Until Depleted]])</f>
        <v>46143</v>
      </c>
    </row>
    <row r="29" spans="1:24" x14ac:dyDescent="0.25">
      <c r="A29" s="17">
        <v>9115955</v>
      </c>
      <c r="B29" t="str">
        <f>_xlfn.XLOOKUP(TblOrderRec[[#This Row],[Product ID]],tblProduct[product_id],tblProduct[category])</f>
        <v>candy</v>
      </c>
      <c r="C29" t="str">
        <f>_xlfn.XLOOKUP(TblOrderRec[[#This Row],[Product ID]],tblProduct[product_id],tblProduct[product_name])</f>
        <v>Laffy Taffy</v>
      </c>
      <c r="D29" t="str">
        <f>IF(LEN(TblOrderRec[[#This Row],[Product]])&gt;15,LEFT(TblOrderRec[[#This Row],[Product]],12)&amp;"…",TblOrderRec[[#This Row],[Product]])</f>
        <v>Laffy Taffy</v>
      </c>
      <c r="E29">
        <f>_xlfn.XLOOKUP(TblOrderRec[[#This Row],[Product ID]],tblProduct[product_id],tblProduct[purchase_unit_size])</f>
        <v>28</v>
      </c>
      <c r="F29" cm="1">
        <f t="array" ref="F29">_xlfn.XLOOKUP(TblOrderRec[[#This Row],[Product ID]]&amp;tblOrderReportPeriod[Period Start Date],tblInventorySnapshot[product_id]&amp;tblInventorySnapshot[snapshot_date],tblInventorySnapshot[qty_on_hand])</f>
        <v>15</v>
      </c>
      <c r="G29" cm="1">
        <f t="array" ref="G29">SUMIFS(tblPurchases[total_qty_purchased],
tblPurchases[product_id],TblOrderRec[[#This Row],[Product ID]],
tblPurchases[received_date],"&gt;="&amp;tblOrderReportPeriod[Period Start Date],
tblPurchases[received_date],"&lt;="&amp;tblOrderReportPeriod[Period End Date])</f>
        <v>0</v>
      </c>
      <c r="H29" cm="1">
        <f t="array" ref="H29">SUMIFS(tblSales[quantity],
tblSales[product_id],TblOrderRec[[#This Row],[Product ID]],
tblSales[sale_date],"&gt;="&amp;tblOrderReportPeriod[Period Start Date],
tblSales[sale_date],"&lt;="&amp;tblOrderReportPeriod[Period End Date])</f>
        <v>2</v>
      </c>
      <c r="I29">
        <f>TblOrderRec[[#This Row],[Beg QTY]]+TblOrderRec[[#This Row],[Purchased]]-TblOrderRec[[#This Row],[Sold (SORT DESC)]]</f>
        <v>13</v>
      </c>
      <c r="J29" s="2" cm="1">
        <f t="array" ref="J29">TblOrderRec[[#This Row],[Sold (SORT DESC)]]/tblOrderReportPeriod[Total Elapsed Days]</f>
        <v>5.7142857142857141E-2</v>
      </c>
      <c r="K29" s="2">
        <f>TblOrderRec[[#This Row],[Daily Velocity]]*7</f>
        <v>0.39999999999999997</v>
      </c>
      <c r="L29" s="4">
        <f>_xlfn.FLOOR.MATH(TblOrderRec[[#This Row],[End QTY]]/TblOrderRec[[#This Row],[Daily Velocity]])</f>
        <v>227</v>
      </c>
      <c r="M29" s="12" cm="1">
        <f t="array" ref="M29">tblOrderReportPeriod[Period End Date]+TblOrderRec[[#This Row],[Current Days of Inventory]]</f>
        <v>46283</v>
      </c>
      <c r="N29" s="15">
        <f>TblOrderRec[[#This Row],[Sold (SORT DESC)]]/SUM(TblOrderRec[Sold (SORT DESC)])</f>
        <v>2.442002442002442E-3</v>
      </c>
      <c r="O29" s="5">
        <f>SUM($N$2:N29)</f>
        <v>0.99877899877899834</v>
      </c>
      <c r="P29" s="5" t="str" cm="1">
        <f t="array" ref="P29">_xlfn.IFS(TblOrderRec[[#This Row],[Running Total of % of Sales]]&lt;=0.8,"A – Top Sellers",
TblOrderRec[[#This Row],[Running Total of % of Sales]]&lt;=0.95,"B – Mid Sellers",
TRUE,"C – Low Sellers"
)</f>
        <v>C – Low Sellers</v>
      </c>
      <c r="Q29" s="4" cm="1">
        <f t="array" ref="Q29">_xlfn.IFS(
TblOrderRec[[#This Row],[Running Total of % of Sales]]&lt;=0.8, 14+tblOrderReportPeriod[Days Between Deliveries],
TblOrderRec[[#This Row],[Running Total of % of Sales]]&lt;=0.95, 7+tblOrderReportPeriod[Days Between Deliveries],
TRUE,tblOrderReportPeriod[Days Between Deliveries]
)</f>
        <v>14</v>
      </c>
      <c r="R29" s="4" cm="1">
        <f t="array" ref="R29">IF(TblOrderRec[[#This Row],[End QTY]]-_xlfn.CEILING.MATH((tblOrderReportPeriod[Lead Time]*TblOrderRec[[#This Row],[Daily Velocity]]))&gt;=0,TblOrderRec[[#This Row],[End QTY]]-_xlfn.CEILING.MATH((tblOrderReportPeriod[Lead Time]*TblOrderRec[[#This Row],[Daily Velocity]])),0)</f>
        <v>12</v>
      </c>
      <c r="S29" s="4">
        <f>_xlfn.CEILING.MATH(TblOrderRec[[#This Row],[Daily Velocity]]*TblOrderRec[[#This Row],[Target Days of Supply After Delivery]])</f>
        <v>1</v>
      </c>
      <c r="T29" s="4">
        <f>MAX(TblOrderRec[[#This Row],[Target Inventory after Delivery]]-TblOrderRec[[#This Row],[Inventory at Delivery]],0)</f>
        <v>0</v>
      </c>
      <c r="U29" s="4">
        <f>ROUNDUP(TblOrderRec[[#This Row],[Units to Order]]/TblOrderRec[[#This Row],[Purchase Unit Size]],0)</f>
        <v>0</v>
      </c>
      <c r="V29" s="4">
        <f>TblOrderRec[[#This Row],[Inventory at Delivery]]+(TblOrderRec[[#This Row],[Purchase Units to Order]]*TblOrderRec[[#This Row],[Purchase Unit Size]])</f>
        <v>12</v>
      </c>
      <c r="W29" s="11">
        <f>IFERROR(ROUNDDOWN(TblOrderRec[[#This Row],[Projected QTY on Hand after Delivery]]/TblOrderRec[[#This Row],[Daily Velocity]],0),"NULL")</f>
        <v>210</v>
      </c>
      <c r="X29" s="12" cm="1">
        <f t="array" ref="X29">IF(TblOrderRec[[#This Row],[Units to Order]]=0,TblOrderRec[[#This Row],[Current Depletion Date]],tblOrderReportPeriod[Order Delivery Date]+TblOrderRec[[#This Row],[Projected Days Until Depleted]])</f>
        <v>46283</v>
      </c>
    </row>
    <row r="30" spans="1:24" x14ac:dyDescent="0.25">
      <c r="A30" s="17">
        <v>6230104</v>
      </c>
      <c r="B30" t="str">
        <f>_xlfn.XLOOKUP(TblOrderRec[[#This Row],[Product ID]],tblProduct[product_id],tblProduct[category])</f>
        <v>candy</v>
      </c>
      <c r="C30" t="str">
        <f>_xlfn.XLOOKUP(TblOrderRec[[#This Row],[Product ID]],tblProduct[product_id],tblProduct[product_name])</f>
        <v>Hershey's Milk Chocolate Bar</v>
      </c>
      <c r="D30" t="str">
        <f>IF(LEN(TblOrderRec[[#This Row],[Product]])&gt;15,LEFT(TblOrderRec[[#This Row],[Product]],12)&amp;"…",TblOrderRec[[#This Row],[Product]])</f>
        <v>Hershey's Mi…</v>
      </c>
      <c r="E30">
        <f>_xlfn.XLOOKUP(TblOrderRec[[#This Row],[Product ID]],tblProduct[product_id],tblProduct[purchase_unit_size])</f>
        <v>28</v>
      </c>
      <c r="F30" cm="1">
        <f t="array" ref="F30">_xlfn.XLOOKUP(TblOrderRec[[#This Row],[Product ID]]&amp;tblOrderReportPeriod[Period Start Date],tblInventorySnapshot[product_id]&amp;tblInventorySnapshot[snapshot_date],tblInventorySnapshot[qty_on_hand])</f>
        <v>23</v>
      </c>
      <c r="G30" cm="1">
        <f t="array" ref="G30">SUMIFS(tblPurchases[total_qty_purchased],
tblPurchases[product_id],TblOrderRec[[#This Row],[Product ID]],
tblPurchases[received_date],"&gt;="&amp;tblOrderReportPeriod[Period Start Date],
tblPurchases[received_date],"&lt;="&amp;tblOrderReportPeriod[Period End Date])</f>
        <v>0</v>
      </c>
      <c r="H30" cm="1">
        <f t="array" ref="H30">SUMIFS(tblSales[quantity],
tblSales[product_id],TblOrderRec[[#This Row],[Product ID]],
tblSales[sale_date],"&gt;="&amp;tblOrderReportPeriod[Period Start Date],
tblSales[sale_date],"&lt;="&amp;tblOrderReportPeriod[Period End Date])</f>
        <v>1</v>
      </c>
      <c r="I30">
        <f>TblOrderRec[[#This Row],[Beg QTY]]+TblOrderRec[[#This Row],[Purchased]]-TblOrderRec[[#This Row],[Sold (SORT DESC)]]</f>
        <v>22</v>
      </c>
      <c r="J30" s="2" cm="1">
        <f t="array" ref="J30">TblOrderRec[[#This Row],[Sold (SORT DESC)]]/tblOrderReportPeriod[Total Elapsed Days]</f>
        <v>2.8571428571428571E-2</v>
      </c>
      <c r="K30" s="2">
        <f>TblOrderRec[[#This Row],[Daily Velocity]]*7</f>
        <v>0.19999999999999998</v>
      </c>
      <c r="L30" s="4">
        <f>_xlfn.FLOOR.MATH(TblOrderRec[[#This Row],[End QTY]]/TblOrderRec[[#This Row],[Daily Velocity]])</f>
        <v>770</v>
      </c>
      <c r="M30" s="12" cm="1">
        <f t="array" ref="M30">tblOrderReportPeriod[Period End Date]+TblOrderRec[[#This Row],[Current Days of Inventory]]</f>
        <v>46826</v>
      </c>
      <c r="N30" s="15">
        <f>TblOrderRec[[#This Row],[Sold (SORT DESC)]]/SUM(TblOrderRec[Sold (SORT DESC)])</f>
        <v>1.221001221001221E-3</v>
      </c>
      <c r="O30" s="5">
        <f>SUM($N$2:N30)</f>
        <v>0.99999999999999956</v>
      </c>
      <c r="P30" s="5" t="str" cm="1">
        <f t="array" ref="P30">_xlfn.IFS(TblOrderRec[[#This Row],[Running Total of % of Sales]]&lt;=0.8,"A – Top Sellers",
TblOrderRec[[#This Row],[Running Total of % of Sales]]&lt;=0.95,"B – Mid Sellers",
TRUE,"C – Low Sellers"
)</f>
        <v>C – Low Sellers</v>
      </c>
      <c r="Q30" s="4" cm="1">
        <f t="array" ref="Q30">_xlfn.IFS(
TblOrderRec[[#This Row],[Running Total of % of Sales]]&lt;=0.8, 14+tblOrderReportPeriod[Days Between Deliveries],
TblOrderRec[[#This Row],[Running Total of % of Sales]]&lt;=0.95, 7+tblOrderReportPeriod[Days Between Deliveries],
TRUE,tblOrderReportPeriod[Days Between Deliveries]
)</f>
        <v>14</v>
      </c>
      <c r="R30" s="4" cm="1">
        <f t="array" ref="R30">IF(TblOrderRec[[#This Row],[End QTY]]-_xlfn.CEILING.MATH((tblOrderReportPeriod[Lead Time]*TblOrderRec[[#This Row],[Daily Velocity]]))&gt;=0,TblOrderRec[[#This Row],[End QTY]]-_xlfn.CEILING.MATH((tblOrderReportPeriod[Lead Time]*TblOrderRec[[#This Row],[Daily Velocity]])),0)</f>
        <v>21</v>
      </c>
      <c r="S30" s="4">
        <f>_xlfn.CEILING.MATH(TblOrderRec[[#This Row],[Daily Velocity]]*TblOrderRec[[#This Row],[Target Days of Supply After Delivery]])</f>
        <v>1</v>
      </c>
      <c r="T30" s="4">
        <f>MAX(TblOrderRec[[#This Row],[Target Inventory after Delivery]]-TblOrderRec[[#This Row],[Inventory at Delivery]],0)</f>
        <v>0</v>
      </c>
      <c r="U30" s="4">
        <f>ROUNDUP(TblOrderRec[[#This Row],[Units to Order]]/TblOrderRec[[#This Row],[Purchase Unit Size]],0)</f>
        <v>0</v>
      </c>
      <c r="V30" s="4">
        <f>TblOrderRec[[#This Row],[Inventory at Delivery]]+(TblOrderRec[[#This Row],[Purchase Units to Order]]*TblOrderRec[[#This Row],[Purchase Unit Size]])</f>
        <v>21</v>
      </c>
      <c r="W30" s="11">
        <f>IFERROR(ROUNDDOWN(TblOrderRec[[#This Row],[Projected QTY on Hand after Delivery]]/TblOrderRec[[#This Row],[Daily Velocity]],0),"NULL")</f>
        <v>735</v>
      </c>
      <c r="X30" s="12" cm="1">
        <f t="array" ref="X30">IF(TblOrderRec[[#This Row],[Units to Order]]=0,TblOrderRec[[#This Row],[Current Depletion Date]],tblOrderReportPeriod[Order Delivery Date]+TblOrderRec[[#This Row],[Projected Days Until Depleted]])</f>
        <v>46826</v>
      </c>
    </row>
    <row r="31" spans="1:24" x14ac:dyDescent="0.25">
      <c r="A31" s="17">
        <v>2310329</v>
      </c>
      <c r="B31" t="str">
        <f>_xlfn.XLOOKUP(TblOrderRec[[#This Row],[Product ID]],tblProduct[product_id],tblProduct[category])</f>
        <v>candy</v>
      </c>
      <c r="C31" t="str">
        <f>_xlfn.XLOOKUP(TblOrderRec[[#This Row],[Product ID]],tblProduct[product_id],tblProduct[product_name])</f>
        <v>M&amp;M's</v>
      </c>
      <c r="D31" t="str">
        <f>IF(LEN(TblOrderRec[[#This Row],[Product]])&gt;15,LEFT(TblOrderRec[[#This Row],[Product]],12)&amp;"…",TblOrderRec[[#This Row],[Product]])</f>
        <v>M&amp;M's</v>
      </c>
      <c r="E31">
        <f>_xlfn.XLOOKUP(TblOrderRec[[#This Row],[Product ID]],tblProduct[product_id],tblProduct[purchase_unit_size])</f>
        <v>28</v>
      </c>
      <c r="F31" cm="1">
        <f t="array" ref="F31">_xlfn.XLOOKUP(TblOrderRec[[#This Row],[Product ID]]&amp;tblOrderReportPeriod[Period Start Date],tblInventorySnapshot[product_id]&amp;tblInventorySnapshot[snapshot_date],tblInventorySnapshot[qty_on_hand])</f>
        <v>17</v>
      </c>
      <c r="G31" cm="1">
        <f t="array" ref="G31">SUMIFS(tblPurchases[total_qty_purchased],
tblPurchases[product_id],TblOrderRec[[#This Row],[Product ID]],
tblPurchases[received_date],"&gt;="&amp;tblOrderReportPeriod[Period Start Date],
tblPurchases[received_date],"&lt;="&amp;tblOrderReportPeriod[Period End Date])</f>
        <v>0</v>
      </c>
      <c r="H31" cm="1">
        <f t="array" ref="H31">SUMIFS(tblSales[quantity],
tblSales[product_id],TblOrderRec[[#This Row],[Product ID]],
tblSales[sale_date],"&gt;="&amp;tblOrderReportPeriod[Period Start Date],
tblSales[sale_date],"&lt;="&amp;tblOrderReportPeriod[Period End Date])</f>
        <v>0</v>
      </c>
      <c r="I31">
        <f>TblOrderRec[[#This Row],[Beg QTY]]+TblOrderRec[[#This Row],[Purchased]]-TblOrderRec[[#This Row],[Sold (SORT DESC)]]</f>
        <v>17</v>
      </c>
      <c r="J31" s="2" cm="1">
        <f t="array" ref="J31">TblOrderRec[[#This Row],[Sold (SORT DESC)]]/tblOrderReportPeriod[Total Elapsed Days]</f>
        <v>0</v>
      </c>
      <c r="K31" s="2">
        <f>TblOrderRec[[#This Row],[Daily Velocity]]*7</f>
        <v>0</v>
      </c>
      <c r="L31" s="4" t="e">
        <f>_xlfn.FLOOR.MATH(TblOrderRec[[#This Row],[End QTY]]/TblOrderRec[[#This Row],[Daily Velocity]])</f>
        <v>#DIV/0!</v>
      </c>
      <c r="M31" s="2" t="e" cm="1">
        <f t="array" ref="M31">tblOrderReportPeriod[Period End Date]+TblOrderRec[[#This Row],[Current Days of Inventory]]</f>
        <v>#DIV/0!</v>
      </c>
      <c r="N31" s="15">
        <f>TblOrderRec[[#This Row],[Sold (SORT DESC)]]/SUM(TblOrderRec[Sold (SORT DESC)])</f>
        <v>0</v>
      </c>
      <c r="O31" s="5">
        <f>SUM($N$2:N31)</f>
        <v>0.99999999999999956</v>
      </c>
      <c r="P31" s="5" t="str" cm="1">
        <f t="array" ref="P31">_xlfn.IFS(TblOrderRec[[#This Row],[Running Total of % of Sales]]&lt;=0.8,"A – Top Sellers",
TblOrderRec[[#This Row],[Running Total of % of Sales]]&lt;=0.95,"B – Mid Sellers",
TRUE,"C – Low Sellers"
)</f>
        <v>C – Low Sellers</v>
      </c>
      <c r="Q31" s="4" cm="1">
        <f t="array" ref="Q31">_xlfn.IFS(
TblOrderRec[[#This Row],[Running Total of % of Sales]]&lt;=0.8, 14+tblOrderReportPeriod[Days Between Deliveries],
TblOrderRec[[#This Row],[Running Total of % of Sales]]&lt;=0.95, 7+tblOrderReportPeriod[Days Between Deliveries],
TRUE,tblOrderReportPeriod[Days Between Deliveries]
)</f>
        <v>14</v>
      </c>
      <c r="R31" s="4" cm="1">
        <f t="array" ref="R31">IF(TblOrderRec[[#This Row],[End QTY]]-_xlfn.CEILING.MATH((tblOrderReportPeriod[Lead Time]*TblOrderRec[[#This Row],[Daily Velocity]]))&gt;=0,TblOrderRec[[#This Row],[End QTY]]-_xlfn.CEILING.MATH((tblOrderReportPeriod[Lead Time]*TblOrderRec[[#This Row],[Daily Velocity]])),0)</f>
        <v>17</v>
      </c>
      <c r="S31" s="4">
        <f>_xlfn.CEILING.MATH(TblOrderRec[[#This Row],[Daily Velocity]]*TblOrderRec[[#This Row],[Target Days of Supply After Delivery]])</f>
        <v>0</v>
      </c>
      <c r="T31" s="4">
        <f>MAX(TblOrderRec[[#This Row],[Target Inventory after Delivery]]-TblOrderRec[[#This Row],[Inventory at Delivery]],0)</f>
        <v>0</v>
      </c>
      <c r="U31" s="4">
        <f>ROUNDUP(TblOrderRec[[#This Row],[Units to Order]]/TblOrderRec[[#This Row],[Purchase Unit Size]],0)</f>
        <v>0</v>
      </c>
      <c r="V31" s="4">
        <f>TblOrderRec[[#This Row],[Inventory at Delivery]]+(TblOrderRec[[#This Row],[Purchase Units to Order]]*TblOrderRec[[#This Row],[Purchase Unit Size]])</f>
        <v>17</v>
      </c>
      <c r="W31" s="11" t="str">
        <f>IFERROR(ROUNDDOWN(TblOrderRec[[#This Row],[Projected QTY on Hand after Delivery]]/TblOrderRec[[#This Row],[Daily Velocity]],0),"NULL")</f>
        <v>NULL</v>
      </c>
      <c r="X31" s="12" t="e" cm="1">
        <f t="array" ref="X31">IF(TblOrderRec[[#This Row],[Units to Order]]=0,TblOrderRec[[#This Row],[Current Depletion Date]],tblOrderReportPeriod[Order Delivery Date]+TblOrderRec[[#This Row],[Projected Days Until Depleted]])</f>
        <v>#DIV/0!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lessThanOrEqual" id="{6ABCEC6B-F675-445E-A44D-2D311052F0B5}">
            <xm:f>tblOrderReportPeriod!#REF!</xm:f>
            <x14:dxf>
              <fill>
                <patternFill>
                  <bgColor theme="5" tint="0.79998168889431442"/>
                </patternFill>
              </fill>
            </x14:dxf>
          </x14:cfRule>
          <xm:sqref>M2:M30</xm:sqref>
        </x14:conditionalFormatting>
        <x14:conditionalFormatting xmlns:xm="http://schemas.microsoft.com/office/excel/2006/main">
          <x14:cfRule type="cellIs" priority="2" operator="lessThanOrEqual" id="{6F760176-8EB0-408A-BCD9-A2A8C3B7C703}">
            <xm:f>tblOrderReportPeriod!#REF!</xm:f>
            <x14:dxf>
              <fill>
                <patternFill>
                  <bgColor theme="5" tint="0.79998168889431442"/>
                </patternFill>
              </fill>
            </x14:dxf>
          </x14:cfRule>
          <xm:sqref>X2:X31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tblProduct</vt:lpstr>
      <vt:lpstr>tblSales</vt:lpstr>
      <vt:lpstr>tblPurchases</vt:lpstr>
      <vt:lpstr>tblInventorySnapshot</vt:lpstr>
      <vt:lpstr>tblOrderReportPeriod</vt:lpstr>
      <vt:lpstr>Order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 Lawson</dc:creator>
  <cp:lastModifiedBy>Jay Lawson</cp:lastModifiedBy>
  <dcterms:created xsi:type="dcterms:W3CDTF">2026-03-12T20:28:36Z</dcterms:created>
  <dcterms:modified xsi:type="dcterms:W3CDTF">2026-03-30T19:26:44Z</dcterms:modified>
</cp:coreProperties>
</file>